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<sst xmlns="http://schemas.openxmlformats.org/spreadsheetml/2006/main" count="702" uniqueCount="273">
  <si>
    <t xml:space="preserve">Issue Key</t>
  </si>
  <si>
    <t xml:space="preserve">Issue Type</t>
  </si>
  <si>
    <t xml:space="preserve">Project Name</t>
  </si>
  <si>
    <t xml:space="preserve">Task / Summary</t>
  </si>
  <si>
    <t xml:space="preserve">Phase</t>
  </si>
  <si>
    <t xml:space="preserve">Owner</t>
  </si>
  <si>
    <t xml:space="preserve">Team</t>
  </si>
  <si>
    <t xml:space="preserve">Resources Needed</t>
  </si>
  <si>
    <t xml:space="preserve">Priority</t>
  </si>
  <si>
    <t xml:space="preserve">Status</t>
  </si>
  <si>
    <t xml:space="preserve">Start Date</t>
  </si>
  <si>
    <t xml:space="preserve">Baseline Due Date</t>
  </si>
  <si>
    <t xml:space="preserve">Due Date (Current)</t>
  </si>
  <si>
    <t xml:space="preserve">Days Slipped</t>
  </si>
  <si>
    <t xml:space="preserve">RAG Status</t>
  </si>
  <si>
    <t xml:space="preserve">% Complete</t>
  </si>
  <si>
    <t xml:space="preserve">Effort (Days)</t>
  </si>
  <si>
    <t xml:space="preserve">Dependencies</t>
  </si>
  <si>
    <t xml:space="preserve">Governance Level</t>
  </si>
  <si>
    <t xml:space="preserve">Known Issues / Bugs</t>
  </si>
  <si>
    <t xml:space="preserve">Issue Severity</t>
  </si>
  <si>
    <t xml:space="preserve">Last Updated</t>
  </si>
  <si>
    <t xml:space="preserve">Notes</t>
  </si>
  <si>
    <t xml:space="preserve">Next Step / Recommended Action</t>
  </si>
  <si>
    <t xml:space="preserve">META-RRO-0</t>
  </si>
  <si>
    <t xml:space="preserve">Epic</t>
  </si>
  <si>
    <t xml:space="preserve">Reels Ranking Overhaul</t>
  </si>
  <si>
    <t xml:space="preserve">Improve Reels session time and creator retention via a new multi-task ranking model</t>
  </si>
  <si>
    <t xml:space="preserve">Full Marketable Solution</t>
  </si>
  <si>
    <t xml:space="preserve">Elena Vasquez</t>
  </si>
  <si>
    <t xml:space="preserve">Ranking &amp; Recommendations</t>
  </si>
  <si>
    <t xml:space="preserve">2 ML Engineers, 1 Data Scientist, 1 Eng Manager, 1 PM</t>
  </si>
  <si>
    <t xml:space="preserve">High</t>
  </si>
  <si>
    <t xml:space="preserve">At Risk</t>
  </si>
  <si>
    <t xml:space="preserve">Steering Committee Review</t>
  </si>
  <si>
    <t xml:space="preserve">Flagship ranking refresh for FY26; feeds Creator Monetization Suite</t>
  </si>
  <si>
    <t xml:space="preserve">Escalate infra scaling fix (RRO-5) to unblock deployment ramp; portfolio review recommended.</t>
  </si>
  <si>
    <t xml:space="preserve">META-RRO-1</t>
  </si>
  <si>
    <t xml:space="preserve">Sub-task</t>
  </si>
  <si>
    <t xml:space="preserve">Audit current ranking model bottlenecks</t>
  </si>
  <si>
    <t xml:space="preserve">Prototype Design</t>
  </si>
  <si>
    <t xml:space="preserve">Marcus Lee</t>
  </si>
  <si>
    <t xml:space="preserve">-</t>
  </si>
  <si>
    <t xml:space="preserve">Done</t>
  </si>
  <si>
    <t xml:space="preserve">No known issues</t>
  </si>
  <si>
    <t xml:space="preserve">None</t>
  </si>
  <si>
    <t xml:space="preserve">Identified latency in candidate generation stage</t>
  </si>
  <si>
    <t xml:space="preserve">No action needed — delivered.</t>
  </si>
  <si>
    <t xml:space="preserve">META-RRO-2</t>
  </si>
  <si>
    <t xml:space="preserve">Build multi-task ranking prototype (v0)</t>
  </si>
  <si>
    <t xml:space="preserve">Prototype validated offline on holdout set</t>
  </si>
  <si>
    <t xml:space="preserve">META-RRO-3</t>
  </si>
  <si>
    <t xml:space="preserve">Train MVP ranking model on 90-day engagement data</t>
  </si>
  <si>
    <t xml:space="preserve">MVP</t>
  </si>
  <si>
    <t xml:space="preserve">Priya Anand</t>
  </si>
  <si>
    <t xml:space="preserve">Model beat baseline by 4.2% offline NDCG; delivered 2 weeks late</t>
  </si>
  <si>
    <t xml:space="preserve">No further action; note recurring 2-week slip pattern for retro.</t>
  </si>
  <si>
    <t xml:space="preserve">META-RRO-4</t>
  </si>
  <si>
    <t xml:space="preserve">Run sandbox A/B test on 2% of traffic</t>
  </si>
  <si>
    <t xml:space="preserve">Sandbox Testing</t>
  </si>
  <si>
    <t xml:space="preserve">Result: +3.1% session time, greenlit for deployment ramp</t>
  </si>
  <si>
    <t xml:space="preserve">META-RRO-5</t>
  </si>
  <si>
    <t xml:space="preserve">Deployment testing at 25% traffic ramp</t>
  </si>
  <si>
    <t xml:space="preserve">Deployment Testing</t>
  </si>
  <si>
    <t xml:space="preserve">3 open defects: candidate-generation service p95 latency spikes to 220ms under peak load (RRO-BUG-101/102/103)</t>
  </si>
  <si>
    <t xml:space="preserve">Critical</t>
  </si>
  <si>
    <t xml:space="preserve">Candidate-generation service under-provisioned at peak load; overdue</t>
  </si>
  <si>
    <t xml:space="preserve">Get Infra on-call to size candidate-gen capacity this week; re-baseline date.</t>
  </si>
  <si>
    <t xml:space="preserve">META-RRO-6</t>
  </si>
  <si>
    <t xml:space="preserve">Post-production monitoring &amp; guardrail tuning</t>
  </si>
  <si>
    <t xml:space="preserve">Post-Production Testing</t>
  </si>
  <si>
    <t xml:space="preserve">Medium</t>
  </si>
  <si>
    <t xml:space="preserve">Blocked</t>
  </si>
  <si>
    <t xml:space="preserve">No new defects logged yet; blocked before guardrail tuning could begin</t>
  </si>
  <si>
    <t xml:space="preserve">Blocked pending infra fix from META-RRO-5</t>
  </si>
  <si>
    <t xml:space="preserve">Cannot start guardrail tuning until RRO-5 clears; track as dependency risk.</t>
  </si>
  <si>
    <t xml:space="preserve">META-LEAP-0</t>
  </si>
  <si>
    <t xml:space="preserve">Llama Enterprise API Platform</t>
  </si>
  <si>
    <t xml:space="preserve">Hosted, SLA-backed API for Llama models with billing, quotas and fine-tuning for enterprise customers</t>
  </si>
  <si>
    <t xml:space="preserve">David Kim</t>
  </si>
  <si>
    <t xml:space="preserve">Generative AI Platform</t>
  </si>
  <si>
    <t xml:space="preserve">3 Backend Engineers, 1 SRE, 1 Solutions Architect, 1 PM</t>
  </si>
  <si>
    <t xml:space="preserve">META-DCE-0</t>
  </si>
  <si>
    <t xml:space="preserve">GA target Q4 FY26; capacity depends on Data Center Efficiency program</t>
  </si>
  <si>
    <t xml:space="preserve">Confirm GPU capacity commitment from Infra by end of month or pull in contingency plan.</t>
  </si>
  <si>
    <t xml:space="preserve">META-LEAP-1</t>
  </si>
  <si>
    <t xml:space="preserve">Define enterprise API requirements &amp; SLAs</t>
  </si>
  <si>
    <t xml:space="preserve">End-to-end Design</t>
  </si>
  <si>
    <t xml:space="preserve">Sofia Marin</t>
  </si>
  <si>
    <t xml:space="preserve">SLA tiers agreed with 3 design-partner customers</t>
  </si>
  <si>
    <t xml:space="preserve">META-LEAP-2</t>
  </si>
  <si>
    <t xml:space="preserve">Build POC: single-tenant inference endpoint</t>
  </si>
  <si>
    <t xml:space="preserve">POC</t>
  </si>
  <si>
    <t xml:space="preserve">POC met p95 latency target of 800ms</t>
  </si>
  <si>
    <t xml:space="preserve">META-LEAP-3</t>
  </si>
  <si>
    <t xml:space="preserve">Design multi-tenant billing &amp; quota architecture</t>
  </si>
  <si>
    <t xml:space="preserve">Rahul Sethi</t>
  </si>
  <si>
    <t xml:space="preserve">Usage-based billing model approved by Finance</t>
  </si>
  <si>
    <t xml:space="preserve">META-LEAP-4</t>
  </si>
  <si>
    <t xml:space="preserve">Develop MVP hosted API with fine-tuning support</t>
  </si>
  <si>
    <t xml:space="preserve">2 bugs found and fixed during integration testing (fine-tuning job retry logic)</t>
  </si>
  <si>
    <t xml:space="preserve">Low</t>
  </si>
  <si>
    <t xml:space="preserve">Fine-tuning pipeline integrated and validated; handed to sandbox testing</t>
  </si>
  <si>
    <t xml:space="preserve">META-LEAP-5</t>
  </si>
  <si>
    <t xml:space="preserve">Provision GPU capacity via Data Center Efficiency program</t>
  </si>
  <si>
    <t xml:space="preserve">Development</t>
  </si>
  <si>
    <t xml:space="preserve">META-DCE-3</t>
  </si>
  <si>
    <t xml:space="preserve">No software defects; blocked by external GPU capacity delivery, not a bug</t>
  </si>
  <si>
    <t xml:space="preserve">Delayed by cooling retrofit schedule slip</t>
  </si>
  <si>
    <t xml:space="preserve">Escalate to DCE program owner for firm capacity delivery date; evaluate cloud burst as fallback.</t>
  </si>
  <si>
    <t xml:space="preserve">META-LEAP-6</t>
  </si>
  <si>
    <t xml:space="preserve">Sandbox testing with 5 pilot enterprise customers</t>
  </si>
  <si>
    <t xml:space="preserve">Planning</t>
  </si>
  <si>
    <t xml:space="preserve">META-LEAP-4, META-LEAP-5</t>
  </si>
  <si>
    <t xml:space="preserve">Pilot cohort confirmed, NDAs signed</t>
  </si>
  <si>
    <t xml:space="preserve">Confirm LEAP-5 capacity lands before Aug 31 start; else slip start date.</t>
  </si>
  <si>
    <t xml:space="preserve">META-LEAP-7</t>
  </si>
  <si>
    <t xml:space="preserve">Deployment &amp; post-production testing, GA rollout</t>
  </si>
  <si>
    <t xml:space="preserve">GA readiness review scheduled for late Nov</t>
  </si>
  <si>
    <t xml:space="preserve">On track to start as scheduled; confirm readiness review invite sent.</t>
  </si>
  <si>
    <t xml:space="preserve">META-QMR-0</t>
  </si>
  <si>
    <t xml:space="preserve">Quest Mixed Reality OS Upgrade</t>
  </si>
  <si>
    <t xml:space="preserve">Next-gen passthrough rendering and persistent spatial anchors for the Quest hardware line</t>
  </si>
  <si>
    <t xml:space="preserve">Naomi Clarke</t>
  </si>
  <si>
    <t xml:space="preserve">Reality Labs OS</t>
  </si>
  <si>
    <t xml:space="preserve">4 Systems Engineers, 2 Graphics Engineers, 1 QA Lead, 1 PM</t>
  </si>
  <si>
    <t xml:space="preserve">On Track</t>
  </si>
  <si>
    <t xml:space="preserve">Team-Level Tracking</t>
  </si>
  <si>
    <t xml:space="preserve">Foundational OS update ahead of next hardware refresh; healthiest program in portfolio</t>
  </si>
  <si>
    <t xml:space="preserve">Continue monitoring; no escalation needed.</t>
  </si>
  <si>
    <t xml:space="preserve">META-QMR-1</t>
  </si>
  <si>
    <t xml:space="preserve">Prototype improved passthrough rendering pipeline</t>
  </si>
  <si>
    <t xml:space="preserve">Liam Osei</t>
  </si>
  <si>
    <t xml:space="preserve">Reduced passthrough latency by 18ms</t>
  </si>
  <si>
    <t xml:space="preserve">META-QMR-2</t>
  </si>
  <si>
    <t xml:space="preserve">Prototype persistent spatial anchor system</t>
  </si>
  <si>
    <t xml:space="preserve">Anchors persist across app restarts in lab tests</t>
  </si>
  <si>
    <t xml:space="preserve">META-QMR-3</t>
  </si>
  <si>
    <t xml:space="preserve">Build POC: anchor sync across multi-user sessions</t>
  </si>
  <si>
    <t xml:space="preserve">Grace Tanaka</t>
  </si>
  <si>
    <t xml:space="preserve">2 minor sync bugs in multi-user anchor merge, patched before sign-off</t>
  </si>
  <si>
    <t xml:space="preserve">Sync validated for up to 4 concurrent users; POC accepted</t>
  </si>
  <si>
    <t xml:space="preserve">META-QMR-4</t>
  </si>
  <si>
    <t xml:space="preserve">Develop MVP OS build for internal dogfood</t>
  </si>
  <si>
    <t xml:space="preserve">1 critical crash bug on Quest 3 hardware during dogfood; hotfix in progress (QMR-BUG-201)</t>
  </si>
  <si>
    <t xml:space="preserve">Dogfood rollout to 500 employees begins this week</t>
  </si>
  <si>
    <t xml:space="preserve">META-QMR-5</t>
  </si>
  <si>
    <t xml:space="preserve">Sandbox testing across Quest 3 &amp; Quest 4 hardware</t>
  </si>
  <si>
    <t xml:space="preserve">Device lab reserved for extended soak testing</t>
  </si>
  <si>
    <t xml:space="preserve">On track to start as scheduled; confirm device lab booking.</t>
  </si>
  <si>
    <t xml:space="preserve">META-QMR-6</t>
  </si>
  <si>
    <t xml:space="preserve">Full marketable solution certification &amp; store release</t>
  </si>
  <si>
    <t xml:space="preserve">Store certification checklist drafted</t>
  </si>
  <si>
    <t xml:space="preserve">On track to start as scheduled; no action needed yet.</t>
  </si>
  <si>
    <t xml:space="preserve">META-UMB-0</t>
  </si>
  <si>
    <t xml:space="preserve">Unified Messaging Backend</t>
  </si>
  <si>
    <t xml:space="preserve">Consolidate Messenger, Instagram DM and WhatsApp Business messaging onto one shared backend</t>
  </si>
  <si>
    <t xml:space="preserve">Carlos Mendez</t>
  </si>
  <si>
    <t xml:space="preserve">Messaging Platform Infra</t>
  </si>
  <si>
    <t xml:space="preserve">3 Backend Engineers, 1 Security Engineer, 1 PM</t>
  </si>
  <si>
    <t xml:space="preserve">Unlocks cross-app enforcement for Teen Safety &amp; Wellbeing Controls</t>
  </si>
  <si>
    <t xml:space="preserve">Compliance to fast-track WhatsApp bridge review; program blocking two downstream epics.</t>
  </si>
  <si>
    <t xml:space="preserve">META-UMB-1</t>
  </si>
  <si>
    <t xml:space="preserve">End-to-end design of unified message schema</t>
  </si>
  <si>
    <t xml:space="preserve">Hana Suzuki</t>
  </si>
  <si>
    <t xml:space="preserve">Schema supports all three surfaces without app-specific branching</t>
  </si>
  <si>
    <t xml:space="preserve">META-UMB-2</t>
  </si>
  <si>
    <t xml:space="preserve">Design cross-app identity &amp; encryption mapping</t>
  </si>
  <si>
    <t xml:space="preserve">Reviewed and signed off by Security team</t>
  </si>
  <si>
    <t xml:space="preserve">META-UMB-3</t>
  </si>
  <si>
    <t xml:space="preserve">Develop core routing service (Messenger + IG DM)</t>
  </si>
  <si>
    <t xml:space="preserve">Omar Farouk</t>
  </si>
  <si>
    <t xml:space="preserve">4 routing bugs resolved prior to sign-off (message ordering edge cases)</t>
  </si>
  <si>
    <t xml:space="preserve">Routing validated in staging for both surfaces; production-ready</t>
  </si>
  <si>
    <t xml:space="preserve">META-UMB-4</t>
  </si>
  <si>
    <t xml:space="preserve">Develop WhatsApp Business API bridge</t>
  </si>
  <si>
    <t xml:space="preserve">2 critical bugs in WhatsApp delivery-receipt handling, under investigation (UMB-BUG-310/311)</t>
  </si>
  <si>
    <t xml:space="preserve">WhatsApp compliance review adding a 2-week delay</t>
  </si>
  <si>
    <t xml:space="preserve">Request expedited compliance review slot this sprint.</t>
  </si>
  <si>
    <t xml:space="preserve">META-UMB-5</t>
  </si>
  <si>
    <t xml:space="preserve">Deployment testing under peak concurrent load</t>
  </si>
  <si>
    <t xml:space="preserve">No new defects logged; blocked pending UMB-4 fixes</t>
  </si>
  <si>
    <t xml:space="preserve">Blocked pending WhatsApp bridge completion</t>
  </si>
  <si>
    <t xml:space="preserve">Cannot start until UMB-4 clears compliance; hold resourcing.</t>
  </si>
  <si>
    <t xml:space="preserve">META-UMB-6</t>
  </si>
  <si>
    <t xml:space="preserve">Post-production monitoring &amp; rollback plan</t>
  </si>
  <si>
    <t xml:space="preserve">Rollback runbook drafted, pending final review</t>
  </si>
  <si>
    <t xml:space="preserve">On track to start as scheduled, contingent on UMB-5.</t>
  </si>
  <si>
    <t xml:space="preserve">META-TSW-0</t>
  </si>
  <si>
    <t xml:space="preserve">Teen Safety &amp; Wellbeing Controls</t>
  </si>
  <si>
    <t xml:space="preserve">Age-appropriate defaults, parental controls and screen-time nudges across the family of apps</t>
  </si>
  <si>
    <t xml:space="preserve">Fatima Al-Rashid</t>
  </si>
  <si>
    <t xml:space="preserve">Trust &amp; Safety - Youth Products</t>
  </si>
  <si>
    <t xml:space="preserve">2 Backend Engineers, 1 Policy Specialist, 1 UX Researcher, 1 PM</t>
  </si>
  <si>
    <t xml:space="preserve">Compliance-driven program with hard regulatory deadline</t>
  </si>
  <si>
    <t xml:space="preserve">Flag regulatory deadline risk to Legal now; contingency plan needed if UMB stays blocked past Sept.</t>
  </si>
  <si>
    <t xml:space="preserve">META-TSW-1</t>
  </si>
  <si>
    <t xml:space="preserve">Regulatory &amp; policy requirements mapping</t>
  </si>
  <si>
    <t xml:space="preserve">Ben Okafor</t>
  </si>
  <si>
    <t xml:space="preserve">Mapped requirements across US, EU and UK jurisdictions</t>
  </si>
  <si>
    <t xml:space="preserve">META-TSW-2</t>
  </si>
  <si>
    <t xml:space="preserve">Prototype parental control dashboard</t>
  </si>
  <si>
    <t xml:space="preserve">Usability tested with 12 parent households</t>
  </si>
  <si>
    <t xml:space="preserve">META-TSW-3</t>
  </si>
  <si>
    <t xml:space="preserve">Build cross-app enforcement hooks on unified backend</t>
  </si>
  <si>
    <t xml:space="preserve">Ines Duarte</t>
  </si>
  <si>
    <t xml:space="preserve">1 critical bug: enforcement hook crashes on cross-app identity mismatch (TSW-BUG-401)</t>
  </si>
  <si>
    <t xml:space="preserve">Waiting on unified routing service stability; overdue</t>
  </si>
  <si>
    <t xml:space="preserve">Re-sequence against UMB-4 fix; consider interim per-app enforcement as stopgap.</t>
  </si>
  <si>
    <t xml:space="preserve">META-TSW-4</t>
  </si>
  <si>
    <t xml:space="preserve">Sandbox testing with teen accounts panel</t>
  </si>
  <si>
    <t xml:space="preserve">No new defects; testing paused pending TSW-3 fix</t>
  </si>
  <si>
    <t xml:space="preserve">Consent process finalized, but predecessor TSW-3 is blocked</t>
  </si>
  <si>
    <t xml:space="preserve">Do not start until TSW-3 unblocks; hold panel schedule for now.</t>
  </si>
  <si>
    <t xml:space="preserve">META-TSW-5</t>
  </si>
  <si>
    <t xml:space="preserve">Post-production testing &amp; compliance sign-off</t>
  </si>
  <si>
    <t xml:space="preserve">Legal sign-off required before regional rollout</t>
  </si>
  <si>
    <t xml:space="preserve">Monitor upstream slip; regulatory deadline has little buffer left.</t>
  </si>
  <si>
    <t xml:space="preserve">Data Center Liquid Cooling Efficiency</t>
  </si>
  <si>
    <t xml:space="preserve">Retrofit GPU clusters with direct liquid cooling to cut PUE and free capacity for AI workloads</t>
  </si>
  <si>
    <t xml:space="preserve">Wei Zhang</t>
  </si>
  <si>
    <t xml:space="preserve">Infrastructure &amp; Data Centers</t>
  </si>
  <si>
    <t xml:space="preserve">2 Mechanical Engineers, 2 Data Center Technicians, 1 PM</t>
  </si>
  <si>
    <t xml:space="preserve">Program-Level Governance</t>
  </si>
  <si>
    <t xml:space="preserve">Capacity unlock feeds directly into Llama Enterprise API Platform</t>
  </si>
  <si>
    <t xml:space="preserve">Vendor to confirm revised hardware delivery date this week; impacts LEAP GA timeline.</t>
  </si>
  <si>
    <t xml:space="preserve">META-DCE-1</t>
  </si>
  <si>
    <t xml:space="preserve">Prototype liquid cooling manifold design</t>
  </si>
  <si>
    <t xml:space="preserve">Anders Lindqvist</t>
  </si>
  <si>
    <t xml:space="preserve">Manifold design passed thermal stress testing</t>
  </si>
  <si>
    <t xml:space="preserve">META-DCE-2</t>
  </si>
  <si>
    <t xml:space="preserve">POC retrofit on single rack row</t>
  </si>
  <si>
    <t xml:space="preserve">PUE improved from 1.18 to 1.07 on pilot row</t>
  </si>
  <si>
    <t xml:space="preserve">Full data hall retrofit rollout</t>
  </si>
  <si>
    <t xml:space="preserve">No software defects; vendor hardware delivery delay, not a bug</t>
  </si>
  <si>
    <t xml:space="preserve">Vendor hardware delivery slipped by 3 weeks</t>
  </si>
  <si>
    <t xml:space="preserve">Escalate to vendor account team; assess partial-row cutover to protect LEAP timeline.</t>
  </si>
  <si>
    <t xml:space="preserve">META-DCE-4</t>
  </si>
  <si>
    <t xml:space="preserve">Deployment testing under full AI training load</t>
  </si>
  <si>
    <t xml:space="preserve">Test plan aligned with GenAI Platform training calendar</t>
  </si>
  <si>
    <t xml:space="preserve">Contingent on DCE-3; confirm start date once vendor delivery firms up.</t>
  </si>
  <si>
    <t xml:space="preserve">META-CMS-0</t>
  </si>
  <si>
    <t xml:space="preserve">Creator Monetization Suite</t>
  </si>
  <si>
    <t xml:space="preserve">Bundle letting creators combine ads, subscriptions and tipping in one unified payout flow</t>
  </si>
  <si>
    <t xml:space="preserve">Julia Novak</t>
  </si>
  <si>
    <t xml:space="preserve">Monetization Products</t>
  </si>
  <si>
    <t xml:space="preserve">2 Backend Engineers, 1 Data Analyst, 1 PM</t>
  </si>
  <si>
    <t xml:space="preserve">Uses Reels ranking signals to personalize monetization prompts</t>
  </si>
  <si>
    <t xml:space="preserve">META-CMS-1</t>
  </si>
  <si>
    <t xml:space="preserve">Design unified payout &amp; revenue-share model</t>
  </si>
  <si>
    <t xml:space="preserve">Sam Okoye</t>
  </si>
  <si>
    <t xml:space="preserve">Revenue-share tiers approved by Finance &amp; Legal</t>
  </si>
  <si>
    <t xml:space="preserve">META-CMS-2</t>
  </si>
  <si>
    <t xml:space="preserve">Prototype in-app monetization dashboard for creators</t>
  </si>
  <si>
    <t xml:space="preserve">Tested with 20-creator advisory panel</t>
  </si>
  <si>
    <t xml:space="preserve">META-CMS-3</t>
  </si>
  <si>
    <t xml:space="preserve">Integrate ranking signals for personalized monetization tips</t>
  </si>
  <si>
    <t xml:space="preserve">Diego Alvarez</t>
  </si>
  <si>
    <t xml:space="preserve">2 bugs found and fixed during ranking-signal integration testing</t>
  </si>
  <si>
    <t xml:space="preserve">Ranking signal integration completed and validated</t>
  </si>
  <si>
    <t xml:space="preserve">META-CMS-4</t>
  </si>
  <si>
    <t xml:space="preserve">Build MVP payout flow with tax &amp; compliance checks</t>
  </si>
  <si>
    <t xml:space="preserve">1 medium bug in tax-withholding rounding logic, fix scheduled this sprint (CMS-BUG-501)</t>
  </si>
  <si>
    <t xml:space="preserve">Tax withholding logic validated for 6 pilot markets</t>
  </si>
  <si>
    <t xml:space="preserve">META-CMS-5</t>
  </si>
  <si>
    <t xml:space="preserve">Sandbox testing with 200-creator cohort</t>
  </si>
  <si>
    <t xml:space="preserve">Cohort recruitment underway via Creator Studio</t>
  </si>
  <si>
    <t xml:space="preserve">Notes:</t>
  </si>
  <si>
    <t xml:space="preserve">RAG Status is derived: Red = Status is Blocked/At Risk; Amber = slipped past Baseline Due Date but not Blocked/At Risk; Green = on or ahead of baseline.</t>
  </si>
  <si>
    <t xml:space="preserve">% Complete for Sub-tasks is manager-reported progress; Epic % Complete is the average of its Sub-tasks (formula-driven).</t>
  </si>
  <si>
    <t xml:space="preserve">Known Issues / Bugs and Issue Severity are logged at Sub-task level; Epic-level values are formula rollups (counts of Critical/High severity items open across that project's Sub-tasks).</t>
  </si>
  <si>
    <t xml:space="preserve">Governance Level is set at Epic level only, based on priority, RAG status, and cross-project dependency footprint.</t>
  </si>
  <si>
    <t xml:space="preserve">Baseline Due Date reflects original committed plan; Due Date (Current) reflects latest re-forecast. All figures are illustrative/hypothetical.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</si>
</sst>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6A6A6A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2F3"/>
        <bgColor rgb="FFD3ECD6"/>
      </patternFill>
    </fill>
    <fill>
      <patternFill patternType="solid">
        <fgColor rgb="FFF8CFCF"/>
        <bgColor rgb="FFFCE7C0"/>
      </patternFill>
    </fill>
    <fill>
      <patternFill patternType="solid">
        <fgColor rgb="FFFFFFFF"/>
        <bgColor rgb="FFEEF1F6"/>
      </patternFill>
    </fill>
    <fill>
      <patternFill patternType="solid">
        <fgColor rgb="FFD3ECD6"/>
        <bgColor rgb="FFD9E2F3"/>
      </patternFill>
    </fill>
    <fill>
      <patternFill patternType="solid">
        <fgColor rgb="FFEEF1F6"/>
        <bgColor rgb="FFFFFFFF"/>
      </patternFill>
    </fill>
    <fill>
      <patternFill patternType="solid">
        <fgColor rgb="FFFCE7C0"/>
        <bgColor rgb="FFF8CF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9"/>
      </left>
      <right style="thin">
        <color rgb="FFC9CFD9"/>
      </right>
      <top style="thin">
        <color rgb="FFC9CFD9"/>
      </top>
      <bottom style="thin">
        <color rgb="FFC9CF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A4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 patternType="solid">
          <fgColor rgb="FFD3ECD6"/>
          <bgColor rgb="FF000000"/>
        </patternFill>
      </fill>
    </dxf>
    <dxf>
      <fill>
        <patternFill patternType="solid">
          <fgColor rgb="FFF8CFCF"/>
          <bgColor rgb="FF000000"/>
        </patternFill>
      </fill>
    </dxf>
    <dxf>
      <fill>
        <patternFill patternType="solid">
          <fgColor rgb="FFFCE7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7C0"/>
      <rgbColor rgb="FFEEF1F6"/>
      <rgbColor rgb="FF660066"/>
      <rgbColor rgb="FFFF8080"/>
      <rgbColor rgb="FF1565C0"/>
      <rgbColor rgb="FFC9CF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3ECD6"/>
      <rgbColor rgb="FFFFFF99"/>
      <rgbColor rgb="FF99CCFF"/>
      <rgbColor rgb="FFFF99CC"/>
      <rgbColor rgb="FFCC99FF"/>
      <rgbColor rgb="FFF8CFCF"/>
      <rgbColor rgb="FF3366FF"/>
      <rgbColor rgb="FF33CCCC"/>
      <rgbColor rgb="FF99CC00"/>
      <rgbColor rgb="FFFFCC00"/>
      <rgbColor rgb="FFFF9900"/>
      <rgbColor rgb="FFE65100"/>
      <rgbColor rgb="FF6A6A6A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ortfolioTable" displayName="PortfolioTable" ref="A1:X47" headerRowCount="1" totalsRowCount="0" totalsRowShown="0">
  <autoFilter ref="A1:X47"/>
  <tableColumns count="24">
    <tableColumn id="1" name="Issue Key"/>
    <tableColumn id="2" name="Issue Type"/>
    <tableColumn id="3" name="Project Name"/>
    <tableColumn id="4" name="Task / Summary"/>
    <tableColumn id="5" name="Phase"/>
    <tableColumn id="6" name="Owner"/>
    <tableColumn id="7" name="Team"/>
    <tableColumn id="8" name="Resources Needed"/>
    <tableColumn id="9" name="Priority"/>
    <tableColumn id="10" name="Status"/>
    <tableColumn id="11" name="Start Date"/>
    <tableColumn id="12" name="Baseline Due Date"/>
    <tableColumn id="13" name="Due Date (Current)"/>
    <tableColumn id="14" name="Days Slipped"/>
    <tableColumn id="15" name="RAG Status"/>
    <tableColumn id="16" name="% Complete"/>
    <tableColumn id="17" name="Effort (Days)"/>
    <tableColumn id="18" name="Dependencies"/>
    <tableColumn id="19" name="Governance Level"/>
    <tableColumn id="20" name="Known Issues / Bugs"/>
    <tableColumn id="21" name="Issue Severity"/>
    <tableColumn id="22" name="Last Updated"/>
    <tableColumn id="23" name="Notes"/>
    <tableColumn id="24" name="Next Step / Recommended 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38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3" min="12" style="0" width="13"/>
    <col collapsed="false" customWidth="true" hidden="false" outlineLevel="0" max="17" min="14" style="0" width="10"/>
    <col collapsed="false" customWidth="true" hidden="false" outlineLevel="0" max="18" min="18" style="0" width="18"/>
    <col collapsed="false" customWidth="true" hidden="false" outlineLevel="0" max="19" min="19" style="0" width="20"/>
    <col collapsed="false" customWidth="true" hidden="false" outlineLevel="0" max="20" min="20" style="0" width="42"/>
    <col collapsed="false" customWidth="true" hidden="false" outlineLevel="0" max="22" min="21" style="0" width="12"/>
    <col collapsed="false" customWidth="true" hidden="false" outlineLevel="0" max="23" min="23" style="0" width="34"/>
    <col collapsed="false" customWidth="true" hidden="false" outlineLevel="0" max="24" min="24" style="0" width="3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35.05" hidden="false" customHeight="false" outlineLevel="0" collapsed="false">
      <c r="A2" s="2" t="s">
        <v>24</v>
      </c>
      <c r="B2" s="2" t="s">
        <v>25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3" t="s">
        <v>31</v>
      </c>
      <c r="I2" s="4" t="s">
        <v>32</v>
      </c>
      <c r="J2" s="5" t="s">
        <v>33</v>
      </c>
      <c r="K2" s="6" t="n">
        <v>46027</v>
      </c>
      <c r="L2" s="6" t="n">
        <v>46265</v>
      </c>
      <c r="M2" s="6" t="n">
        <v>46295</v>
      </c>
      <c r="N2" s="7" t="n">
        <f aca="false">M2-L2</f>
        <v>30</v>
      </c>
      <c r="O2" s="8" t="str">
        <f aca="false">IF(OR(J2="Blocked",J2="At Risk"),"Red",IF(N2&gt;0,"Amber","Green"))</f>
        <v>Red</v>
      </c>
      <c r="P2" s="9" t="n">
        <f aca="false">ROUND(AVERAGEIFS($P$2:$P$47,$C$2:$C$47,C2,$B$2:$B$47,"Sub-task"),0)</f>
        <v>81</v>
      </c>
      <c r="Q2" s="10"/>
      <c r="R2" s="2"/>
      <c r="S2" s="2" t="s">
        <v>34</v>
      </c>
      <c r="T2" s="3" t="str">
        <f aca="false">IF(COUNTIFS($C$2:$C$47,C2,$B$2:$B$47,"Sub-task",$U$2:$U$47,"Critical")+COUNTIFS($C$2:$C$47,C2,$B$2:$B$47,"Sub-task",$U$2:$U$47,"High")&gt;0,COUNTIFS($C$2:$C$47,C2,$B$2:$B$47,"Sub-task",$U$2:$U$47,"Critical")+COUNTIFS($C$2:$C$47,C2,$B$2:$B$47,"Sub-task",$U$2:$U$47,"High")&amp;" critical/high severity issue(s) open across sub-tasks",IF(COUNTIFS($C$2:$C$47,C2,$B$2:$B$47,"Sub-task",$U$2:$U$47,"Medium")+COUNTIFS($C$2:$C$47,C2,$B$2:$B$47,"Sub-task",$U$2:$U$47,"Low")&gt;0,COUNTIFS($C$2:$C$47,C2,$B$2:$B$47,"Sub-task",$U$2:$U$47,"Medium")+COUNTIFS($C$2:$C$47,C2,$B$2:$B$47,"Sub-task",$U$2:$U$47,"Low")&amp;" lower-severity issue(s) resolved, none currently open","No known issues across sub-tasks"))</f>
        <v>1 critical/high severity issue(s) open across sub-tasks</v>
      </c>
      <c r="U2" s="10" t="str">
        <f aca="false">IF(COUNTIFS($C$2:$C$47,C2,$B$2:$B$47,"Sub-task",$U$2:$U$47,"Critical")&gt;0,"Critical",IF(COUNTIFS($C$2:$C$47,C2,$B$2:$B$47,"Sub-task",$U$2:$U$47,"High")&gt;0,"High",IF(COUNTIFS($C$2:$C$47,C2,$B$2:$B$47,"Sub-task",$U$2:$U$47,"Medium")&gt;0,"Medium",IF(COUNTIFS($C$2:$C$47,C2,$B$2:$B$47,"Sub-task",$U$2:$U$47,"Low")&gt;0,"Low","None"))))</f>
        <v>Critical</v>
      </c>
      <c r="V2" s="6" t="n">
        <v>46249</v>
      </c>
      <c r="W2" s="3" t="s">
        <v>35</v>
      </c>
      <c r="X2" s="3" t="s">
        <v>36</v>
      </c>
    </row>
    <row r="3" customFormat="false" ht="23.85" hidden="false" customHeight="false" outlineLevel="0" collapsed="false">
      <c r="A3" s="11" t="s">
        <v>37</v>
      </c>
      <c r="B3" s="11" t="s">
        <v>38</v>
      </c>
      <c r="C3" s="11" t="s">
        <v>26</v>
      </c>
      <c r="D3" s="12" t="s">
        <v>39</v>
      </c>
      <c r="E3" s="11" t="s">
        <v>40</v>
      </c>
      <c r="F3" s="11" t="s">
        <v>41</v>
      </c>
      <c r="G3" s="11" t="s">
        <v>30</v>
      </c>
      <c r="H3" s="12" t="s">
        <v>42</v>
      </c>
      <c r="I3" s="13" t="s">
        <v>32</v>
      </c>
      <c r="J3" s="14" t="s">
        <v>43</v>
      </c>
      <c r="K3" s="15" t="n">
        <v>46027</v>
      </c>
      <c r="L3" s="15" t="n">
        <v>46052</v>
      </c>
      <c r="M3" s="15" t="n">
        <v>46052</v>
      </c>
      <c r="N3" s="16" t="n">
        <f aca="false">M3-L3</f>
        <v>0</v>
      </c>
      <c r="O3" s="17" t="str">
        <f aca="false">IF(OR(J3="Blocked",J3="At Risk"),"Red",IF(N3&gt;0,"Amber","Green"))</f>
        <v>Green</v>
      </c>
      <c r="P3" s="18" t="n">
        <v>100</v>
      </c>
      <c r="Q3" s="19" t="n">
        <v>15</v>
      </c>
      <c r="R3" s="11"/>
      <c r="S3" s="11"/>
      <c r="T3" s="12" t="s">
        <v>44</v>
      </c>
      <c r="U3" s="20" t="s">
        <v>45</v>
      </c>
      <c r="V3" s="15" t="n">
        <v>46051</v>
      </c>
      <c r="W3" s="12" t="s">
        <v>46</v>
      </c>
      <c r="X3" s="12" t="s">
        <v>47</v>
      </c>
    </row>
    <row r="4" customFormat="false" ht="15" hidden="false" customHeight="false" outlineLevel="0" collapsed="false">
      <c r="A4" s="21" t="s">
        <v>48</v>
      </c>
      <c r="B4" s="21" t="s">
        <v>38</v>
      </c>
      <c r="C4" s="21" t="s">
        <v>26</v>
      </c>
      <c r="D4" s="22" t="s">
        <v>49</v>
      </c>
      <c r="E4" s="21" t="s">
        <v>40</v>
      </c>
      <c r="F4" s="21" t="s">
        <v>41</v>
      </c>
      <c r="G4" s="21" t="s">
        <v>30</v>
      </c>
      <c r="H4" s="22" t="s">
        <v>42</v>
      </c>
      <c r="I4" s="23" t="s">
        <v>32</v>
      </c>
      <c r="J4" s="24" t="s">
        <v>43</v>
      </c>
      <c r="K4" s="25" t="n">
        <v>46055</v>
      </c>
      <c r="L4" s="25" t="n">
        <v>46094</v>
      </c>
      <c r="M4" s="25" t="n">
        <v>46094</v>
      </c>
      <c r="N4" s="26" t="n">
        <f aca="false">M4-L4</f>
        <v>0</v>
      </c>
      <c r="O4" s="17" t="str">
        <f aca="false">IF(OR(J4="Blocked",J4="At Risk"),"Red",IF(N4&gt;0,"Amber","Green"))</f>
        <v>Green</v>
      </c>
      <c r="P4" s="27" t="n">
        <v>100</v>
      </c>
      <c r="Q4" s="28" t="n">
        <v>30</v>
      </c>
      <c r="R4" s="21" t="s">
        <v>37</v>
      </c>
      <c r="S4" s="21"/>
      <c r="T4" s="22" t="s">
        <v>44</v>
      </c>
      <c r="U4" s="29" t="s">
        <v>45</v>
      </c>
      <c r="V4" s="25" t="n">
        <v>46093</v>
      </c>
      <c r="W4" s="22" t="s">
        <v>50</v>
      </c>
      <c r="X4" s="22" t="s">
        <v>47</v>
      </c>
    </row>
    <row r="5" customFormat="false" ht="23.85" hidden="false" customHeight="false" outlineLevel="0" collapsed="false">
      <c r="A5" s="11" t="s">
        <v>51</v>
      </c>
      <c r="B5" s="11" t="s">
        <v>38</v>
      </c>
      <c r="C5" s="11" t="s">
        <v>26</v>
      </c>
      <c r="D5" s="12" t="s">
        <v>52</v>
      </c>
      <c r="E5" s="11" t="s">
        <v>53</v>
      </c>
      <c r="F5" s="11" t="s">
        <v>54</v>
      </c>
      <c r="G5" s="11" t="s">
        <v>30</v>
      </c>
      <c r="H5" s="12" t="s">
        <v>42</v>
      </c>
      <c r="I5" s="13" t="s">
        <v>32</v>
      </c>
      <c r="J5" s="14" t="s">
        <v>43</v>
      </c>
      <c r="K5" s="15" t="n">
        <v>46097</v>
      </c>
      <c r="L5" s="15" t="n">
        <v>46122</v>
      </c>
      <c r="M5" s="15" t="n">
        <v>46136</v>
      </c>
      <c r="N5" s="16" t="n">
        <f aca="false">M5-L5</f>
        <v>14</v>
      </c>
      <c r="O5" s="30" t="str">
        <f aca="false">IF(OR(J5="Blocked",J5="At Risk"),"Red",IF(N5&gt;0,"Amber","Green"))</f>
        <v>Amber</v>
      </c>
      <c r="P5" s="18" t="n">
        <v>100</v>
      </c>
      <c r="Q5" s="19" t="n">
        <v>28</v>
      </c>
      <c r="R5" s="11" t="s">
        <v>48</v>
      </c>
      <c r="S5" s="11"/>
      <c r="T5" s="12" t="s">
        <v>44</v>
      </c>
      <c r="U5" s="20" t="s">
        <v>45</v>
      </c>
      <c r="V5" s="15" t="n">
        <v>46135</v>
      </c>
      <c r="W5" s="12" t="s">
        <v>55</v>
      </c>
      <c r="X5" s="12" t="s">
        <v>56</v>
      </c>
    </row>
    <row r="6" customFormat="false" ht="23.85" hidden="false" customHeight="false" outlineLevel="0" collapsed="false">
      <c r="A6" s="21" t="s">
        <v>57</v>
      </c>
      <c r="B6" s="21" t="s">
        <v>38</v>
      </c>
      <c r="C6" s="21" t="s">
        <v>26</v>
      </c>
      <c r="D6" s="22" t="s">
        <v>58</v>
      </c>
      <c r="E6" s="21" t="s">
        <v>59</v>
      </c>
      <c r="F6" s="21" t="s">
        <v>54</v>
      </c>
      <c r="G6" s="21" t="s">
        <v>30</v>
      </c>
      <c r="H6" s="22" t="s">
        <v>42</v>
      </c>
      <c r="I6" s="23" t="s">
        <v>32</v>
      </c>
      <c r="J6" s="24" t="s">
        <v>43</v>
      </c>
      <c r="K6" s="25" t="n">
        <v>46139</v>
      </c>
      <c r="L6" s="25" t="n">
        <v>46178</v>
      </c>
      <c r="M6" s="25" t="n">
        <v>46178</v>
      </c>
      <c r="N6" s="26" t="n">
        <f aca="false">M6-L6</f>
        <v>0</v>
      </c>
      <c r="O6" s="17" t="str">
        <f aca="false">IF(OR(J6="Blocked",J6="At Risk"),"Red",IF(N6&gt;0,"Amber","Green"))</f>
        <v>Green</v>
      </c>
      <c r="P6" s="27" t="n">
        <v>100</v>
      </c>
      <c r="Q6" s="28" t="n">
        <v>28</v>
      </c>
      <c r="R6" s="21" t="s">
        <v>51</v>
      </c>
      <c r="S6" s="21"/>
      <c r="T6" s="22" t="s">
        <v>44</v>
      </c>
      <c r="U6" s="29" t="s">
        <v>45</v>
      </c>
      <c r="V6" s="25" t="n">
        <v>46177</v>
      </c>
      <c r="W6" s="22" t="s">
        <v>60</v>
      </c>
      <c r="X6" s="22" t="s">
        <v>47</v>
      </c>
    </row>
    <row r="7" customFormat="false" ht="35.05" hidden="false" customHeight="false" outlineLevel="0" collapsed="false">
      <c r="A7" s="11" t="s">
        <v>61</v>
      </c>
      <c r="B7" s="11" t="s">
        <v>38</v>
      </c>
      <c r="C7" s="11" t="s">
        <v>26</v>
      </c>
      <c r="D7" s="12" t="s">
        <v>62</v>
      </c>
      <c r="E7" s="11" t="s">
        <v>63</v>
      </c>
      <c r="F7" s="11" t="s">
        <v>41</v>
      </c>
      <c r="G7" s="11" t="s">
        <v>30</v>
      </c>
      <c r="H7" s="12" t="s">
        <v>42</v>
      </c>
      <c r="I7" s="13" t="s">
        <v>32</v>
      </c>
      <c r="J7" s="31" t="s">
        <v>33</v>
      </c>
      <c r="K7" s="15" t="n">
        <v>46181</v>
      </c>
      <c r="L7" s="15" t="n">
        <v>46213</v>
      </c>
      <c r="M7" s="15" t="n">
        <v>46234</v>
      </c>
      <c r="N7" s="16" t="n">
        <f aca="false">M7-L7</f>
        <v>21</v>
      </c>
      <c r="O7" s="8" t="str">
        <f aca="false">IF(OR(J7="Blocked",J7="At Risk"),"Red",IF(N7&gt;0,"Amber","Green"))</f>
        <v>Red</v>
      </c>
      <c r="P7" s="18" t="n">
        <v>65</v>
      </c>
      <c r="Q7" s="19" t="n">
        <v>35</v>
      </c>
      <c r="R7" s="11" t="s">
        <v>57</v>
      </c>
      <c r="S7" s="11"/>
      <c r="T7" s="12" t="s">
        <v>64</v>
      </c>
      <c r="U7" s="32" t="s">
        <v>65</v>
      </c>
      <c r="V7" s="15" t="n">
        <v>46248</v>
      </c>
      <c r="W7" s="12" t="s">
        <v>66</v>
      </c>
      <c r="X7" s="12" t="s">
        <v>67</v>
      </c>
    </row>
    <row r="8" customFormat="false" ht="23.85" hidden="false" customHeight="false" outlineLevel="0" collapsed="false">
      <c r="A8" s="21" t="s">
        <v>68</v>
      </c>
      <c r="B8" s="21" t="s">
        <v>38</v>
      </c>
      <c r="C8" s="21" t="s">
        <v>26</v>
      </c>
      <c r="D8" s="22" t="s">
        <v>69</v>
      </c>
      <c r="E8" s="21" t="s">
        <v>70</v>
      </c>
      <c r="F8" s="21" t="s">
        <v>29</v>
      </c>
      <c r="G8" s="21" t="s">
        <v>30</v>
      </c>
      <c r="H8" s="22" t="s">
        <v>42</v>
      </c>
      <c r="I8" s="33" t="s">
        <v>71</v>
      </c>
      <c r="J8" s="23" t="s">
        <v>72</v>
      </c>
      <c r="K8" s="25" t="n">
        <v>46237</v>
      </c>
      <c r="L8" s="25" t="n">
        <v>46270</v>
      </c>
      <c r="M8" s="25" t="n">
        <v>46295</v>
      </c>
      <c r="N8" s="26" t="n">
        <f aca="false">M8-L8</f>
        <v>25</v>
      </c>
      <c r="O8" s="8" t="str">
        <f aca="false">IF(OR(J8="Blocked",J8="At Risk"),"Red",IF(N8&gt;0,"Amber","Green"))</f>
        <v>Red</v>
      </c>
      <c r="P8" s="27" t="n">
        <v>20</v>
      </c>
      <c r="Q8" s="28" t="n">
        <v>25</v>
      </c>
      <c r="R8" s="21" t="s">
        <v>61</v>
      </c>
      <c r="S8" s="21"/>
      <c r="T8" s="22" t="s">
        <v>73</v>
      </c>
      <c r="U8" s="29" t="s">
        <v>45</v>
      </c>
      <c r="V8" s="25" t="n">
        <v>46249</v>
      </c>
      <c r="W8" s="22" t="s">
        <v>74</v>
      </c>
      <c r="X8" s="22" t="s">
        <v>75</v>
      </c>
    </row>
    <row r="9" customFormat="false" ht="35.05" hidden="false" customHeight="false" outlineLevel="0" collapsed="false">
      <c r="A9" s="2" t="s">
        <v>76</v>
      </c>
      <c r="B9" s="2" t="s">
        <v>25</v>
      </c>
      <c r="C9" s="2" t="s">
        <v>77</v>
      </c>
      <c r="D9" s="3" t="s">
        <v>78</v>
      </c>
      <c r="E9" s="2" t="s">
        <v>28</v>
      </c>
      <c r="F9" s="2" t="s">
        <v>79</v>
      </c>
      <c r="G9" s="2" t="s">
        <v>80</v>
      </c>
      <c r="H9" s="3" t="s">
        <v>81</v>
      </c>
      <c r="I9" s="4" t="s">
        <v>32</v>
      </c>
      <c r="J9" s="5" t="s">
        <v>33</v>
      </c>
      <c r="K9" s="6" t="n">
        <v>46034</v>
      </c>
      <c r="L9" s="6" t="n">
        <v>46310</v>
      </c>
      <c r="M9" s="6" t="n">
        <v>46356</v>
      </c>
      <c r="N9" s="7" t="n">
        <f aca="false">M9-L9</f>
        <v>46</v>
      </c>
      <c r="O9" s="8" t="str">
        <f aca="false">IF(OR(J9="Blocked",J9="At Risk"),"Red",IF(N9&gt;0,"Amber","Green"))</f>
        <v>Red</v>
      </c>
      <c r="P9" s="9" t="n">
        <f aca="false">ROUND(AVERAGEIFS($P$2:$P$47,$C$2:$C$47,C9,$B$2:$B$47,"Sub-task"),0)</f>
        <v>65</v>
      </c>
      <c r="Q9" s="10"/>
      <c r="R9" s="2" t="s">
        <v>82</v>
      </c>
      <c r="S9" s="2" t="s">
        <v>34</v>
      </c>
      <c r="T9" s="3" t="str">
        <f aca="false">IF(COUNTIFS($C$2:$C$47,C9,$B$2:$B$47,"Sub-task",$U$2:$U$47,"Critical")+COUNTIFS($C$2:$C$47,C9,$B$2:$B$47,"Sub-task",$U$2:$U$47,"High")&gt;0,COUNTIFS($C$2:$C$47,C9,$B$2:$B$47,"Sub-task",$U$2:$U$47,"Critical")+COUNTIFS($C$2:$C$47,C9,$B$2:$B$47,"Sub-task",$U$2:$U$47,"High")&amp;" critical/high severity issue(s) open across sub-tasks",IF(COUNTIFS($C$2:$C$47,C9,$B$2:$B$47,"Sub-task",$U$2:$U$47,"Medium")+COUNTIFS($C$2:$C$47,C9,$B$2:$B$47,"Sub-task",$U$2:$U$47,"Low")&gt;0,COUNTIFS($C$2:$C$47,C9,$B$2:$B$47,"Sub-task",$U$2:$U$47,"Medium")+COUNTIFS($C$2:$C$47,C9,$B$2:$B$47,"Sub-task",$U$2:$U$47,"Low")&amp;" lower-severity issue(s) resolved, none currently open","No known issues across sub-tasks"))</f>
        <v>1 lower-severity issue(s) resolved, none currently open</v>
      </c>
      <c r="U9" s="10" t="str">
        <f aca="false">IF(COUNTIFS($C$2:$C$47,C9,$B$2:$B$47,"Sub-task",$U$2:$U$47,"Critical")&gt;0,"Critical",IF(COUNTIFS($C$2:$C$47,C9,$B$2:$B$47,"Sub-task",$U$2:$U$47,"High")&gt;0,"High",IF(COUNTIFS($C$2:$C$47,C9,$B$2:$B$47,"Sub-task",$U$2:$U$47,"Medium")&gt;0,"Medium",IF(COUNTIFS($C$2:$C$47,C9,$B$2:$B$47,"Sub-task",$U$2:$U$47,"Low")&gt;0,"Low","None"))))</f>
        <v>Low</v>
      </c>
      <c r="V9" s="6" t="n">
        <v>46249</v>
      </c>
      <c r="W9" s="3" t="s">
        <v>83</v>
      </c>
      <c r="X9" s="3" t="s">
        <v>84</v>
      </c>
    </row>
    <row r="10" customFormat="false" ht="23.85" hidden="false" customHeight="false" outlineLevel="0" collapsed="false">
      <c r="A10" s="21" t="s">
        <v>85</v>
      </c>
      <c r="B10" s="21" t="s">
        <v>38</v>
      </c>
      <c r="C10" s="21" t="s">
        <v>77</v>
      </c>
      <c r="D10" s="22" t="s">
        <v>86</v>
      </c>
      <c r="E10" s="21" t="s">
        <v>87</v>
      </c>
      <c r="F10" s="21" t="s">
        <v>88</v>
      </c>
      <c r="G10" s="21" t="s">
        <v>80</v>
      </c>
      <c r="H10" s="22" t="s">
        <v>42</v>
      </c>
      <c r="I10" s="23" t="s">
        <v>32</v>
      </c>
      <c r="J10" s="24" t="s">
        <v>43</v>
      </c>
      <c r="K10" s="25" t="n">
        <v>46034</v>
      </c>
      <c r="L10" s="25" t="n">
        <v>46066</v>
      </c>
      <c r="M10" s="25" t="n">
        <v>46066</v>
      </c>
      <c r="N10" s="26" t="n">
        <f aca="false">M10-L10</f>
        <v>0</v>
      </c>
      <c r="O10" s="17" t="str">
        <f aca="false">IF(OR(J10="Blocked",J10="At Risk"),"Red",IF(N10&gt;0,"Amber","Green"))</f>
        <v>Green</v>
      </c>
      <c r="P10" s="27" t="n">
        <v>100</v>
      </c>
      <c r="Q10" s="28" t="n">
        <v>22</v>
      </c>
      <c r="R10" s="21"/>
      <c r="S10" s="21"/>
      <c r="T10" s="22" t="s">
        <v>44</v>
      </c>
      <c r="U10" s="29" t="s">
        <v>45</v>
      </c>
      <c r="V10" s="25" t="n">
        <v>46065</v>
      </c>
      <c r="W10" s="22" t="s">
        <v>89</v>
      </c>
      <c r="X10" s="22" t="s">
        <v>47</v>
      </c>
    </row>
    <row r="11" customFormat="false" ht="15" hidden="false" customHeight="false" outlineLevel="0" collapsed="false">
      <c r="A11" s="11" t="s">
        <v>90</v>
      </c>
      <c r="B11" s="11" t="s">
        <v>38</v>
      </c>
      <c r="C11" s="11" t="s">
        <v>77</v>
      </c>
      <c r="D11" s="12" t="s">
        <v>91</v>
      </c>
      <c r="E11" s="11" t="s">
        <v>92</v>
      </c>
      <c r="F11" s="11" t="s">
        <v>88</v>
      </c>
      <c r="G11" s="11" t="s">
        <v>80</v>
      </c>
      <c r="H11" s="12" t="s">
        <v>42</v>
      </c>
      <c r="I11" s="13" t="s">
        <v>32</v>
      </c>
      <c r="J11" s="14" t="s">
        <v>43</v>
      </c>
      <c r="K11" s="15" t="n">
        <v>46069</v>
      </c>
      <c r="L11" s="15" t="n">
        <v>46108</v>
      </c>
      <c r="M11" s="15" t="n">
        <v>46108</v>
      </c>
      <c r="N11" s="16" t="n">
        <f aca="false">M11-L11</f>
        <v>0</v>
      </c>
      <c r="O11" s="17" t="str">
        <f aca="false">IF(OR(J11="Blocked",J11="At Risk"),"Red",IF(N11&gt;0,"Amber","Green"))</f>
        <v>Green</v>
      </c>
      <c r="P11" s="18" t="n">
        <v>100</v>
      </c>
      <c r="Q11" s="19" t="n">
        <v>30</v>
      </c>
      <c r="R11" s="11" t="s">
        <v>85</v>
      </c>
      <c r="S11" s="11"/>
      <c r="T11" s="12" t="s">
        <v>44</v>
      </c>
      <c r="U11" s="20" t="s">
        <v>45</v>
      </c>
      <c r="V11" s="15" t="n">
        <v>46107</v>
      </c>
      <c r="W11" s="12" t="s">
        <v>93</v>
      </c>
      <c r="X11" s="12" t="s">
        <v>47</v>
      </c>
    </row>
    <row r="12" customFormat="false" ht="23.85" hidden="false" customHeight="false" outlineLevel="0" collapsed="false">
      <c r="A12" s="21" t="s">
        <v>94</v>
      </c>
      <c r="B12" s="21" t="s">
        <v>38</v>
      </c>
      <c r="C12" s="21" t="s">
        <v>77</v>
      </c>
      <c r="D12" s="22" t="s">
        <v>95</v>
      </c>
      <c r="E12" s="21" t="s">
        <v>87</v>
      </c>
      <c r="F12" s="21" t="s">
        <v>96</v>
      </c>
      <c r="G12" s="21" t="s">
        <v>80</v>
      </c>
      <c r="H12" s="22" t="s">
        <v>42</v>
      </c>
      <c r="I12" s="33" t="s">
        <v>71</v>
      </c>
      <c r="J12" s="24" t="s">
        <v>43</v>
      </c>
      <c r="K12" s="25" t="n">
        <v>46111</v>
      </c>
      <c r="L12" s="25" t="n">
        <v>46136</v>
      </c>
      <c r="M12" s="25" t="n">
        <v>46136</v>
      </c>
      <c r="N12" s="26" t="n">
        <f aca="false">M12-L12</f>
        <v>0</v>
      </c>
      <c r="O12" s="17" t="str">
        <f aca="false">IF(OR(J12="Blocked",J12="At Risk"),"Red",IF(N12&gt;0,"Amber","Green"))</f>
        <v>Green</v>
      </c>
      <c r="P12" s="27" t="n">
        <v>100</v>
      </c>
      <c r="Q12" s="28" t="n">
        <v>18</v>
      </c>
      <c r="R12" s="21" t="s">
        <v>90</v>
      </c>
      <c r="S12" s="21"/>
      <c r="T12" s="22" t="s">
        <v>44</v>
      </c>
      <c r="U12" s="29" t="s">
        <v>45</v>
      </c>
      <c r="V12" s="25" t="n">
        <v>46135</v>
      </c>
      <c r="W12" s="22" t="s">
        <v>97</v>
      </c>
      <c r="X12" s="22" t="s">
        <v>47</v>
      </c>
    </row>
    <row r="13" customFormat="false" ht="23.85" hidden="false" customHeight="false" outlineLevel="0" collapsed="false">
      <c r="A13" s="11" t="s">
        <v>98</v>
      </c>
      <c r="B13" s="11" t="s">
        <v>38</v>
      </c>
      <c r="C13" s="11" t="s">
        <v>77</v>
      </c>
      <c r="D13" s="12" t="s">
        <v>99</v>
      </c>
      <c r="E13" s="11" t="s">
        <v>53</v>
      </c>
      <c r="F13" s="11" t="s">
        <v>96</v>
      </c>
      <c r="G13" s="11" t="s">
        <v>80</v>
      </c>
      <c r="H13" s="12" t="s">
        <v>42</v>
      </c>
      <c r="I13" s="13" t="s">
        <v>32</v>
      </c>
      <c r="J13" s="14" t="s">
        <v>43</v>
      </c>
      <c r="K13" s="15" t="n">
        <v>46139</v>
      </c>
      <c r="L13" s="15" t="n">
        <v>46220</v>
      </c>
      <c r="M13" s="15" t="n">
        <v>46220</v>
      </c>
      <c r="N13" s="16" t="n">
        <f aca="false">M13-L13</f>
        <v>0</v>
      </c>
      <c r="O13" s="17" t="str">
        <f aca="false">IF(OR(J13="Blocked",J13="At Risk"),"Red",IF(N13&gt;0,"Amber","Green"))</f>
        <v>Green</v>
      </c>
      <c r="P13" s="18" t="n">
        <v>100</v>
      </c>
      <c r="Q13" s="19" t="n">
        <v>55</v>
      </c>
      <c r="R13" s="11" t="s">
        <v>94</v>
      </c>
      <c r="S13" s="11"/>
      <c r="T13" s="12" t="s">
        <v>100</v>
      </c>
      <c r="U13" s="34" t="s">
        <v>101</v>
      </c>
      <c r="V13" s="15" t="n">
        <v>46219</v>
      </c>
      <c r="W13" s="12" t="s">
        <v>102</v>
      </c>
      <c r="X13" s="12" t="s">
        <v>47</v>
      </c>
    </row>
    <row r="14" customFormat="false" ht="35.05" hidden="false" customHeight="false" outlineLevel="0" collapsed="false">
      <c r="A14" s="21" t="s">
        <v>103</v>
      </c>
      <c r="B14" s="21" t="s">
        <v>38</v>
      </c>
      <c r="C14" s="21" t="s">
        <v>77</v>
      </c>
      <c r="D14" s="22" t="s">
        <v>104</v>
      </c>
      <c r="E14" s="21" t="s">
        <v>105</v>
      </c>
      <c r="F14" s="21" t="s">
        <v>79</v>
      </c>
      <c r="G14" s="21" t="s">
        <v>80</v>
      </c>
      <c r="H14" s="22" t="s">
        <v>42</v>
      </c>
      <c r="I14" s="23" t="s">
        <v>32</v>
      </c>
      <c r="J14" s="33" t="s">
        <v>33</v>
      </c>
      <c r="K14" s="25" t="n">
        <v>46174</v>
      </c>
      <c r="L14" s="25" t="n">
        <v>46228</v>
      </c>
      <c r="M14" s="25" t="n">
        <v>46262</v>
      </c>
      <c r="N14" s="26" t="n">
        <f aca="false">M14-L14</f>
        <v>34</v>
      </c>
      <c r="O14" s="8" t="str">
        <f aca="false">IF(OR(J14="Blocked",J14="At Risk"),"Red",IF(N14&gt;0,"Amber","Green"))</f>
        <v>Red</v>
      </c>
      <c r="P14" s="27" t="n">
        <v>55</v>
      </c>
      <c r="Q14" s="28" t="n">
        <v>40</v>
      </c>
      <c r="R14" s="21" t="s">
        <v>106</v>
      </c>
      <c r="S14" s="21"/>
      <c r="T14" s="22" t="s">
        <v>107</v>
      </c>
      <c r="U14" s="29" t="s">
        <v>45</v>
      </c>
      <c r="V14" s="25" t="n">
        <v>46248</v>
      </c>
      <c r="W14" s="22" t="s">
        <v>108</v>
      </c>
      <c r="X14" s="22" t="s">
        <v>109</v>
      </c>
    </row>
    <row r="15" customFormat="false" ht="23.85" hidden="false" customHeight="false" outlineLevel="0" collapsed="false">
      <c r="A15" s="11" t="s">
        <v>110</v>
      </c>
      <c r="B15" s="11" t="s">
        <v>38</v>
      </c>
      <c r="C15" s="11" t="s">
        <v>77</v>
      </c>
      <c r="D15" s="12" t="s">
        <v>111</v>
      </c>
      <c r="E15" s="11" t="s">
        <v>59</v>
      </c>
      <c r="F15" s="11" t="s">
        <v>88</v>
      </c>
      <c r="G15" s="11" t="s">
        <v>80</v>
      </c>
      <c r="H15" s="12" t="s">
        <v>42</v>
      </c>
      <c r="I15" s="13" t="s">
        <v>32</v>
      </c>
      <c r="J15" s="35" t="s">
        <v>112</v>
      </c>
      <c r="K15" s="15" t="n">
        <v>46265</v>
      </c>
      <c r="L15" s="15" t="n">
        <v>46304</v>
      </c>
      <c r="M15" s="15" t="n">
        <v>46304</v>
      </c>
      <c r="N15" s="16" t="n">
        <f aca="false">M15-L15</f>
        <v>0</v>
      </c>
      <c r="O15" s="17" t="str">
        <f aca="false">IF(OR(J15="Blocked",J15="At Risk"),"Red",IF(N15&gt;0,"Amber","Green"))</f>
        <v>Green</v>
      </c>
      <c r="P15" s="18" t="n">
        <v>0</v>
      </c>
      <c r="Q15" s="19" t="n">
        <v>28</v>
      </c>
      <c r="R15" s="11" t="s">
        <v>113</v>
      </c>
      <c r="S15" s="11"/>
      <c r="T15" s="12" t="s">
        <v>44</v>
      </c>
      <c r="U15" s="20" t="s">
        <v>45</v>
      </c>
      <c r="V15" s="15" t="n">
        <v>46249</v>
      </c>
      <c r="W15" s="12" t="s">
        <v>114</v>
      </c>
      <c r="X15" s="12" t="s">
        <v>115</v>
      </c>
    </row>
    <row r="16" customFormat="false" ht="23.85" hidden="false" customHeight="false" outlineLevel="0" collapsed="false">
      <c r="A16" s="21" t="s">
        <v>116</v>
      </c>
      <c r="B16" s="21" t="s">
        <v>38</v>
      </c>
      <c r="C16" s="21" t="s">
        <v>77</v>
      </c>
      <c r="D16" s="22" t="s">
        <v>117</v>
      </c>
      <c r="E16" s="21" t="s">
        <v>63</v>
      </c>
      <c r="F16" s="21" t="s">
        <v>79</v>
      </c>
      <c r="G16" s="21" t="s">
        <v>80</v>
      </c>
      <c r="H16" s="22" t="s">
        <v>42</v>
      </c>
      <c r="I16" s="33" t="s">
        <v>71</v>
      </c>
      <c r="J16" s="36" t="s">
        <v>112</v>
      </c>
      <c r="K16" s="25" t="n">
        <v>46307</v>
      </c>
      <c r="L16" s="25" t="n">
        <v>46356</v>
      </c>
      <c r="M16" s="25" t="n">
        <v>46356</v>
      </c>
      <c r="N16" s="26" t="n">
        <f aca="false">M16-L16</f>
        <v>0</v>
      </c>
      <c r="O16" s="17" t="str">
        <f aca="false">IF(OR(J16="Blocked",J16="At Risk"),"Red",IF(N16&gt;0,"Amber","Green"))</f>
        <v>Green</v>
      </c>
      <c r="P16" s="27" t="n">
        <v>0</v>
      </c>
      <c r="Q16" s="28" t="n">
        <v>30</v>
      </c>
      <c r="R16" s="21" t="s">
        <v>110</v>
      </c>
      <c r="S16" s="21"/>
      <c r="T16" s="22" t="s">
        <v>44</v>
      </c>
      <c r="U16" s="29" t="s">
        <v>45</v>
      </c>
      <c r="V16" s="25" t="n">
        <v>46249</v>
      </c>
      <c r="W16" s="22" t="s">
        <v>118</v>
      </c>
      <c r="X16" s="22" t="s">
        <v>119</v>
      </c>
    </row>
    <row r="17" customFormat="false" ht="35.05" hidden="false" customHeight="false" outlineLevel="0" collapsed="false">
      <c r="A17" s="2" t="s">
        <v>120</v>
      </c>
      <c r="B17" s="2" t="s">
        <v>25</v>
      </c>
      <c r="C17" s="2" t="s">
        <v>121</v>
      </c>
      <c r="D17" s="3" t="s">
        <v>122</v>
      </c>
      <c r="E17" s="2" t="s">
        <v>53</v>
      </c>
      <c r="F17" s="2" t="s">
        <v>123</v>
      </c>
      <c r="G17" s="2" t="s">
        <v>124</v>
      </c>
      <c r="H17" s="3" t="s">
        <v>125</v>
      </c>
      <c r="I17" s="4" t="s">
        <v>32</v>
      </c>
      <c r="J17" s="37" t="s">
        <v>126</v>
      </c>
      <c r="K17" s="6" t="n">
        <v>46041</v>
      </c>
      <c r="L17" s="6" t="n">
        <v>46374</v>
      </c>
      <c r="M17" s="6" t="n">
        <v>46374</v>
      </c>
      <c r="N17" s="7" t="n">
        <f aca="false">M17-L17</f>
        <v>0</v>
      </c>
      <c r="O17" s="17" t="str">
        <f aca="false">IF(OR(J17="Blocked",J17="At Risk"),"Red",IF(N17&gt;0,"Amber","Green"))</f>
        <v>Green</v>
      </c>
      <c r="P17" s="9" t="n">
        <f aca="false">ROUND(AVERAGEIFS($P$2:$P$47,$C$2:$C$47,C17,$B$2:$B$47,"Sub-task"),0)</f>
        <v>62</v>
      </c>
      <c r="Q17" s="10"/>
      <c r="R17" s="2"/>
      <c r="S17" s="2" t="s">
        <v>127</v>
      </c>
      <c r="T17" s="3" t="str">
        <f aca="false">IF(COUNTIFS($C$2:$C$47,C17,$B$2:$B$47,"Sub-task",$U$2:$U$47,"Critical")+COUNTIFS($C$2:$C$47,C17,$B$2:$B$47,"Sub-task",$U$2:$U$47,"High")&gt;0,COUNTIFS($C$2:$C$47,C17,$B$2:$B$47,"Sub-task",$U$2:$U$47,"Critical")+COUNTIFS($C$2:$C$47,C17,$B$2:$B$47,"Sub-task",$U$2:$U$47,"High")&amp;" critical/high severity issue(s) open across sub-tasks",IF(COUNTIFS($C$2:$C$47,C17,$B$2:$B$47,"Sub-task",$U$2:$U$47,"Medium")+COUNTIFS($C$2:$C$47,C17,$B$2:$B$47,"Sub-task",$U$2:$U$47,"Low")&gt;0,COUNTIFS($C$2:$C$47,C17,$B$2:$B$47,"Sub-task",$U$2:$U$47,"Medium")+COUNTIFS($C$2:$C$47,C17,$B$2:$B$47,"Sub-task",$U$2:$U$47,"Low")&amp;" lower-severity issue(s) resolved, none currently open","No known issues across sub-tasks"))</f>
        <v>1 critical/high severity issue(s) open across sub-tasks</v>
      </c>
      <c r="U17" s="10" t="str">
        <f aca="false">IF(COUNTIFS($C$2:$C$47,C17,$B$2:$B$47,"Sub-task",$U$2:$U$47,"Critical")&gt;0,"Critical",IF(COUNTIFS($C$2:$C$47,C17,$B$2:$B$47,"Sub-task",$U$2:$U$47,"High")&gt;0,"High",IF(COUNTIFS($C$2:$C$47,C17,$B$2:$B$47,"Sub-task",$U$2:$U$47,"Medium")&gt;0,"Medium",IF(COUNTIFS($C$2:$C$47,C17,$B$2:$B$47,"Sub-task",$U$2:$U$47,"Low")&gt;0,"Low","None"))))</f>
        <v>Critical</v>
      </c>
      <c r="V17" s="6" t="n">
        <v>46249</v>
      </c>
      <c r="W17" s="3" t="s">
        <v>128</v>
      </c>
      <c r="X17" s="3" t="s">
        <v>129</v>
      </c>
    </row>
    <row r="18" customFormat="false" ht="23.85" hidden="false" customHeight="false" outlineLevel="0" collapsed="false">
      <c r="A18" s="21" t="s">
        <v>130</v>
      </c>
      <c r="B18" s="21" t="s">
        <v>38</v>
      </c>
      <c r="C18" s="21" t="s">
        <v>121</v>
      </c>
      <c r="D18" s="22" t="s">
        <v>131</v>
      </c>
      <c r="E18" s="21" t="s">
        <v>40</v>
      </c>
      <c r="F18" s="21" t="s">
        <v>132</v>
      </c>
      <c r="G18" s="21" t="s">
        <v>124</v>
      </c>
      <c r="H18" s="22" t="s">
        <v>42</v>
      </c>
      <c r="I18" s="23" t="s">
        <v>32</v>
      </c>
      <c r="J18" s="24" t="s">
        <v>43</v>
      </c>
      <c r="K18" s="25" t="n">
        <v>46041</v>
      </c>
      <c r="L18" s="25" t="n">
        <v>46087</v>
      </c>
      <c r="M18" s="25" t="n">
        <v>46087</v>
      </c>
      <c r="N18" s="26" t="n">
        <f aca="false">M18-L18</f>
        <v>0</v>
      </c>
      <c r="O18" s="17" t="str">
        <f aca="false">IF(OR(J18="Blocked",J18="At Risk"),"Red",IF(N18&gt;0,"Amber","Green"))</f>
        <v>Green</v>
      </c>
      <c r="P18" s="27" t="n">
        <v>100</v>
      </c>
      <c r="Q18" s="28" t="n">
        <v>33</v>
      </c>
      <c r="R18" s="21"/>
      <c r="S18" s="21"/>
      <c r="T18" s="22" t="s">
        <v>44</v>
      </c>
      <c r="U18" s="29" t="s">
        <v>45</v>
      </c>
      <c r="V18" s="25" t="n">
        <v>46086</v>
      </c>
      <c r="W18" s="22" t="s">
        <v>133</v>
      </c>
      <c r="X18" s="22" t="s">
        <v>47</v>
      </c>
    </row>
    <row r="19" customFormat="false" ht="23.85" hidden="false" customHeight="false" outlineLevel="0" collapsed="false">
      <c r="A19" s="11" t="s">
        <v>134</v>
      </c>
      <c r="B19" s="11" t="s">
        <v>38</v>
      </c>
      <c r="C19" s="11" t="s">
        <v>121</v>
      </c>
      <c r="D19" s="12" t="s">
        <v>135</v>
      </c>
      <c r="E19" s="11" t="s">
        <v>40</v>
      </c>
      <c r="F19" s="11" t="s">
        <v>132</v>
      </c>
      <c r="G19" s="11" t="s">
        <v>124</v>
      </c>
      <c r="H19" s="12" t="s">
        <v>42</v>
      </c>
      <c r="I19" s="13" t="s">
        <v>32</v>
      </c>
      <c r="J19" s="14" t="s">
        <v>43</v>
      </c>
      <c r="K19" s="15" t="n">
        <v>46090</v>
      </c>
      <c r="L19" s="15" t="n">
        <v>46129</v>
      </c>
      <c r="M19" s="15" t="n">
        <v>46129</v>
      </c>
      <c r="N19" s="16" t="n">
        <f aca="false">M19-L19</f>
        <v>0</v>
      </c>
      <c r="O19" s="17" t="str">
        <f aca="false">IF(OR(J19="Blocked",J19="At Risk"),"Red",IF(N19&gt;0,"Amber","Green"))</f>
        <v>Green</v>
      </c>
      <c r="P19" s="18" t="n">
        <v>100</v>
      </c>
      <c r="Q19" s="19" t="n">
        <v>28</v>
      </c>
      <c r="R19" s="11" t="s">
        <v>130</v>
      </c>
      <c r="S19" s="11"/>
      <c r="T19" s="12" t="s">
        <v>44</v>
      </c>
      <c r="U19" s="20" t="s">
        <v>45</v>
      </c>
      <c r="V19" s="15" t="n">
        <v>46128</v>
      </c>
      <c r="W19" s="12" t="s">
        <v>136</v>
      </c>
      <c r="X19" s="12" t="s">
        <v>47</v>
      </c>
    </row>
    <row r="20" customFormat="false" ht="23.85" hidden="false" customHeight="false" outlineLevel="0" collapsed="false">
      <c r="A20" s="21" t="s">
        <v>137</v>
      </c>
      <c r="B20" s="21" t="s">
        <v>38</v>
      </c>
      <c r="C20" s="21" t="s">
        <v>121</v>
      </c>
      <c r="D20" s="22" t="s">
        <v>138</v>
      </c>
      <c r="E20" s="21" t="s">
        <v>92</v>
      </c>
      <c r="F20" s="21" t="s">
        <v>139</v>
      </c>
      <c r="G20" s="21" t="s">
        <v>124</v>
      </c>
      <c r="H20" s="22" t="s">
        <v>42</v>
      </c>
      <c r="I20" s="33" t="s">
        <v>71</v>
      </c>
      <c r="J20" s="24" t="s">
        <v>43</v>
      </c>
      <c r="K20" s="25" t="n">
        <v>46132</v>
      </c>
      <c r="L20" s="25" t="n">
        <v>46185</v>
      </c>
      <c r="M20" s="25" t="n">
        <v>46185</v>
      </c>
      <c r="N20" s="26" t="n">
        <f aca="false">M20-L20</f>
        <v>0</v>
      </c>
      <c r="O20" s="17" t="str">
        <f aca="false">IF(OR(J20="Blocked",J20="At Risk"),"Red",IF(N20&gt;0,"Amber","Green"))</f>
        <v>Green</v>
      </c>
      <c r="P20" s="27" t="n">
        <v>100</v>
      </c>
      <c r="Q20" s="28" t="n">
        <v>38</v>
      </c>
      <c r="R20" s="21" t="s">
        <v>134</v>
      </c>
      <c r="S20" s="21"/>
      <c r="T20" s="22" t="s">
        <v>140</v>
      </c>
      <c r="U20" s="38" t="s">
        <v>101</v>
      </c>
      <c r="V20" s="25" t="n">
        <v>46184</v>
      </c>
      <c r="W20" s="22" t="s">
        <v>141</v>
      </c>
      <c r="X20" s="22" t="s">
        <v>47</v>
      </c>
    </row>
    <row r="21" customFormat="false" ht="23.85" hidden="false" customHeight="false" outlineLevel="0" collapsed="false">
      <c r="A21" s="11" t="s">
        <v>142</v>
      </c>
      <c r="B21" s="11" t="s">
        <v>38</v>
      </c>
      <c r="C21" s="11" t="s">
        <v>121</v>
      </c>
      <c r="D21" s="12" t="s">
        <v>143</v>
      </c>
      <c r="E21" s="11" t="s">
        <v>53</v>
      </c>
      <c r="F21" s="11" t="s">
        <v>139</v>
      </c>
      <c r="G21" s="11" t="s">
        <v>124</v>
      </c>
      <c r="H21" s="12" t="s">
        <v>42</v>
      </c>
      <c r="I21" s="13" t="s">
        <v>32</v>
      </c>
      <c r="J21" s="39" t="s">
        <v>126</v>
      </c>
      <c r="K21" s="15" t="n">
        <v>46188</v>
      </c>
      <c r="L21" s="15" t="n">
        <v>46262</v>
      </c>
      <c r="M21" s="15" t="n">
        <v>46262</v>
      </c>
      <c r="N21" s="16" t="n">
        <f aca="false">M21-L21</f>
        <v>0</v>
      </c>
      <c r="O21" s="17" t="str">
        <f aca="false">IF(OR(J21="Blocked",J21="At Risk"),"Red",IF(N21&gt;0,"Amber","Green"))</f>
        <v>Green</v>
      </c>
      <c r="P21" s="18" t="n">
        <v>70</v>
      </c>
      <c r="Q21" s="19" t="n">
        <v>50</v>
      </c>
      <c r="R21" s="11" t="s">
        <v>137</v>
      </c>
      <c r="S21" s="11"/>
      <c r="T21" s="12" t="s">
        <v>144</v>
      </c>
      <c r="U21" s="32" t="s">
        <v>65</v>
      </c>
      <c r="V21" s="15" t="n">
        <v>46247</v>
      </c>
      <c r="W21" s="12" t="s">
        <v>145</v>
      </c>
      <c r="X21" s="12" t="s">
        <v>129</v>
      </c>
    </row>
    <row r="22" customFormat="false" ht="23.85" hidden="false" customHeight="false" outlineLevel="0" collapsed="false">
      <c r="A22" s="21" t="s">
        <v>146</v>
      </c>
      <c r="B22" s="21" t="s">
        <v>38</v>
      </c>
      <c r="C22" s="21" t="s">
        <v>121</v>
      </c>
      <c r="D22" s="22" t="s">
        <v>147</v>
      </c>
      <c r="E22" s="21" t="s">
        <v>59</v>
      </c>
      <c r="F22" s="21" t="s">
        <v>132</v>
      </c>
      <c r="G22" s="21" t="s">
        <v>124</v>
      </c>
      <c r="H22" s="22" t="s">
        <v>42</v>
      </c>
      <c r="I22" s="23" t="s">
        <v>32</v>
      </c>
      <c r="J22" s="36" t="s">
        <v>112</v>
      </c>
      <c r="K22" s="25" t="n">
        <v>46265</v>
      </c>
      <c r="L22" s="25" t="n">
        <v>46318</v>
      </c>
      <c r="M22" s="25" t="n">
        <v>46318</v>
      </c>
      <c r="N22" s="26" t="n">
        <f aca="false">M22-L22</f>
        <v>0</v>
      </c>
      <c r="O22" s="17" t="str">
        <f aca="false">IF(OR(J22="Blocked",J22="At Risk"),"Red",IF(N22&gt;0,"Amber","Green"))</f>
        <v>Green</v>
      </c>
      <c r="P22" s="27" t="n">
        <v>0</v>
      </c>
      <c r="Q22" s="28" t="n">
        <v>35</v>
      </c>
      <c r="R22" s="21" t="s">
        <v>142</v>
      </c>
      <c r="S22" s="21"/>
      <c r="T22" s="22" t="s">
        <v>44</v>
      </c>
      <c r="U22" s="29" t="s">
        <v>45</v>
      </c>
      <c r="V22" s="25" t="n">
        <v>46249</v>
      </c>
      <c r="W22" s="22" t="s">
        <v>148</v>
      </c>
      <c r="X22" s="22" t="s">
        <v>149</v>
      </c>
    </row>
    <row r="23" customFormat="false" ht="23.85" hidden="false" customHeight="false" outlineLevel="0" collapsed="false">
      <c r="A23" s="11" t="s">
        <v>150</v>
      </c>
      <c r="B23" s="11" t="s">
        <v>38</v>
      </c>
      <c r="C23" s="11" t="s">
        <v>121</v>
      </c>
      <c r="D23" s="12" t="s">
        <v>151</v>
      </c>
      <c r="E23" s="11" t="s">
        <v>28</v>
      </c>
      <c r="F23" s="11" t="s">
        <v>123</v>
      </c>
      <c r="G23" s="11" t="s">
        <v>124</v>
      </c>
      <c r="H23" s="12" t="s">
        <v>42</v>
      </c>
      <c r="I23" s="31" t="s">
        <v>71</v>
      </c>
      <c r="J23" s="35" t="s">
        <v>112</v>
      </c>
      <c r="K23" s="15" t="n">
        <v>46321</v>
      </c>
      <c r="L23" s="15" t="n">
        <v>46374</v>
      </c>
      <c r="M23" s="15" t="n">
        <v>46374</v>
      </c>
      <c r="N23" s="16" t="n">
        <f aca="false">M23-L23</f>
        <v>0</v>
      </c>
      <c r="O23" s="17" t="str">
        <f aca="false">IF(OR(J23="Blocked",J23="At Risk"),"Red",IF(N23&gt;0,"Amber","Green"))</f>
        <v>Green</v>
      </c>
      <c r="P23" s="18" t="n">
        <v>0</v>
      </c>
      <c r="Q23" s="19" t="n">
        <v>40</v>
      </c>
      <c r="R23" s="11" t="s">
        <v>146</v>
      </c>
      <c r="S23" s="11"/>
      <c r="T23" s="12" t="s">
        <v>44</v>
      </c>
      <c r="U23" s="20" t="s">
        <v>45</v>
      </c>
      <c r="V23" s="15" t="n">
        <v>46249</v>
      </c>
      <c r="W23" s="12" t="s">
        <v>152</v>
      </c>
      <c r="X23" s="12" t="s">
        <v>153</v>
      </c>
    </row>
    <row r="24" customFormat="false" ht="35.05" hidden="false" customHeight="false" outlineLevel="0" collapsed="false">
      <c r="A24" s="2" t="s">
        <v>154</v>
      </c>
      <c r="B24" s="2" t="s">
        <v>25</v>
      </c>
      <c r="C24" s="2" t="s">
        <v>155</v>
      </c>
      <c r="D24" s="3" t="s">
        <v>156</v>
      </c>
      <c r="E24" s="2" t="s">
        <v>105</v>
      </c>
      <c r="F24" s="2" t="s">
        <v>157</v>
      </c>
      <c r="G24" s="2" t="s">
        <v>158</v>
      </c>
      <c r="H24" s="3" t="s">
        <v>159</v>
      </c>
      <c r="I24" s="4" t="s">
        <v>32</v>
      </c>
      <c r="J24" s="4" t="s">
        <v>72</v>
      </c>
      <c r="K24" s="6" t="n">
        <v>46055</v>
      </c>
      <c r="L24" s="6" t="n">
        <v>46266</v>
      </c>
      <c r="M24" s="6" t="n">
        <v>46311</v>
      </c>
      <c r="N24" s="7" t="n">
        <f aca="false">M24-L24</f>
        <v>45</v>
      </c>
      <c r="O24" s="8" t="str">
        <f aca="false">IF(OR(J24="Blocked",J24="At Risk"),"Red",IF(N24&gt;0,"Amber","Green"))</f>
        <v>Red</v>
      </c>
      <c r="P24" s="9" t="n">
        <f aca="false">ROUND(AVERAGEIFS($P$2:$P$47,$C$2:$C$47,C24,$B$2:$B$47,"Sub-task"),0)</f>
        <v>62</v>
      </c>
      <c r="Q24" s="10"/>
      <c r="R24" s="2"/>
      <c r="S24" s="2" t="s">
        <v>34</v>
      </c>
      <c r="T24" s="3" t="str">
        <f aca="false">IF(COUNTIFS($C$2:$C$47,C24,$B$2:$B$47,"Sub-task",$U$2:$U$47,"Critical")+COUNTIFS($C$2:$C$47,C24,$B$2:$B$47,"Sub-task",$U$2:$U$47,"High")&gt;0,COUNTIFS($C$2:$C$47,C24,$B$2:$B$47,"Sub-task",$U$2:$U$47,"Critical")+COUNTIFS($C$2:$C$47,C24,$B$2:$B$47,"Sub-task",$U$2:$U$47,"High")&amp;" critical/high severity issue(s) open across sub-tasks",IF(COUNTIFS($C$2:$C$47,C24,$B$2:$B$47,"Sub-task",$U$2:$U$47,"Medium")+COUNTIFS($C$2:$C$47,C24,$B$2:$B$47,"Sub-task",$U$2:$U$47,"Low")&gt;0,COUNTIFS($C$2:$C$47,C24,$B$2:$B$47,"Sub-task",$U$2:$U$47,"Medium")+COUNTIFS($C$2:$C$47,C24,$B$2:$B$47,"Sub-task",$U$2:$U$47,"Low")&amp;" lower-severity issue(s) resolved, none currently open","No known issues across sub-tasks"))</f>
        <v>1 critical/high severity issue(s) open across sub-tasks</v>
      </c>
      <c r="U24" s="10" t="str">
        <f aca="false">IF(COUNTIFS($C$2:$C$47,C24,$B$2:$B$47,"Sub-task",$U$2:$U$47,"Critical")&gt;0,"Critical",IF(COUNTIFS($C$2:$C$47,C24,$B$2:$B$47,"Sub-task",$U$2:$U$47,"High")&gt;0,"High",IF(COUNTIFS($C$2:$C$47,C24,$B$2:$B$47,"Sub-task",$U$2:$U$47,"Medium")&gt;0,"Medium",IF(COUNTIFS($C$2:$C$47,C24,$B$2:$B$47,"Sub-task",$U$2:$U$47,"Low")&gt;0,"Low","None"))))</f>
        <v>Critical</v>
      </c>
      <c r="V24" s="6" t="n">
        <v>46249</v>
      </c>
      <c r="W24" s="3" t="s">
        <v>160</v>
      </c>
      <c r="X24" s="3" t="s">
        <v>161</v>
      </c>
    </row>
    <row r="25" customFormat="false" ht="23.85" hidden="false" customHeight="false" outlineLevel="0" collapsed="false">
      <c r="A25" s="11" t="s">
        <v>162</v>
      </c>
      <c r="B25" s="11" t="s">
        <v>38</v>
      </c>
      <c r="C25" s="11" t="s">
        <v>155</v>
      </c>
      <c r="D25" s="12" t="s">
        <v>163</v>
      </c>
      <c r="E25" s="11" t="s">
        <v>87</v>
      </c>
      <c r="F25" s="11" t="s">
        <v>164</v>
      </c>
      <c r="G25" s="11" t="s">
        <v>158</v>
      </c>
      <c r="H25" s="12" t="s">
        <v>42</v>
      </c>
      <c r="I25" s="13" t="s">
        <v>32</v>
      </c>
      <c r="J25" s="14" t="s">
        <v>43</v>
      </c>
      <c r="K25" s="15" t="n">
        <v>46055</v>
      </c>
      <c r="L25" s="15" t="n">
        <v>46101</v>
      </c>
      <c r="M25" s="15" t="n">
        <v>46101</v>
      </c>
      <c r="N25" s="16" t="n">
        <f aca="false">M25-L25</f>
        <v>0</v>
      </c>
      <c r="O25" s="17" t="str">
        <f aca="false">IF(OR(J25="Blocked",J25="At Risk"),"Red",IF(N25&gt;0,"Amber","Green"))</f>
        <v>Green</v>
      </c>
      <c r="P25" s="18" t="n">
        <v>100</v>
      </c>
      <c r="Q25" s="19" t="n">
        <v>32</v>
      </c>
      <c r="R25" s="11"/>
      <c r="S25" s="11"/>
      <c r="T25" s="12" t="s">
        <v>44</v>
      </c>
      <c r="U25" s="20" t="s">
        <v>45</v>
      </c>
      <c r="V25" s="15" t="n">
        <v>46100</v>
      </c>
      <c r="W25" s="12" t="s">
        <v>165</v>
      </c>
      <c r="X25" s="12" t="s">
        <v>47</v>
      </c>
    </row>
    <row r="26" customFormat="false" ht="23.85" hidden="false" customHeight="false" outlineLevel="0" collapsed="false">
      <c r="A26" s="21" t="s">
        <v>166</v>
      </c>
      <c r="B26" s="21" t="s">
        <v>38</v>
      </c>
      <c r="C26" s="21" t="s">
        <v>155</v>
      </c>
      <c r="D26" s="22" t="s">
        <v>167</v>
      </c>
      <c r="E26" s="21" t="s">
        <v>87</v>
      </c>
      <c r="F26" s="21" t="s">
        <v>164</v>
      </c>
      <c r="G26" s="21" t="s">
        <v>158</v>
      </c>
      <c r="H26" s="22" t="s">
        <v>42</v>
      </c>
      <c r="I26" s="23" t="s">
        <v>32</v>
      </c>
      <c r="J26" s="24" t="s">
        <v>43</v>
      </c>
      <c r="K26" s="25" t="n">
        <v>46104</v>
      </c>
      <c r="L26" s="25" t="n">
        <v>46136</v>
      </c>
      <c r="M26" s="25" t="n">
        <v>46136</v>
      </c>
      <c r="N26" s="26" t="n">
        <f aca="false">M26-L26</f>
        <v>0</v>
      </c>
      <c r="O26" s="17" t="str">
        <f aca="false">IF(OR(J26="Blocked",J26="At Risk"),"Red",IF(N26&gt;0,"Amber","Green"))</f>
        <v>Green</v>
      </c>
      <c r="P26" s="27" t="n">
        <v>100</v>
      </c>
      <c r="Q26" s="28" t="n">
        <v>25</v>
      </c>
      <c r="R26" s="21" t="s">
        <v>162</v>
      </c>
      <c r="S26" s="21"/>
      <c r="T26" s="22" t="s">
        <v>44</v>
      </c>
      <c r="U26" s="29" t="s">
        <v>45</v>
      </c>
      <c r="V26" s="25" t="n">
        <v>46135</v>
      </c>
      <c r="W26" s="22" t="s">
        <v>168</v>
      </c>
      <c r="X26" s="22" t="s">
        <v>47</v>
      </c>
    </row>
    <row r="27" customFormat="false" ht="23.85" hidden="false" customHeight="false" outlineLevel="0" collapsed="false">
      <c r="A27" s="11" t="s">
        <v>169</v>
      </c>
      <c r="B27" s="11" t="s">
        <v>38</v>
      </c>
      <c r="C27" s="11" t="s">
        <v>155</v>
      </c>
      <c r="D27" s="12" t="s">
        <v>170</v>
      </c>
      <c r="E27" s="11" t="s">
        <v>105</v>
      </c>
      <c r="F27" s="11" t="s">
        <v>171</v>
      </c>
      <c r="G27" s="11" t="s">
        <v>158</v>
      </c>
      <c r="H27" s="12" t="s">
        <v>42</v>
      </c>
      <c r="I27" s="13" t="s">
        <v>32</v>
      </c>
      <c r="J27" s="14" t="s">
        <v>43</v>
      </c>
      <c r="K27" s="15" t="n">
        <v>46139</v>
      </c>
      <c r="L27" s="15" t="n">
        <v>46213</v>
      </c>
      <c r="M27" s="15" t="n">
        <v>46213</v>
      </c>
      <c r="N27" s="16" t="n">
        <f aca="false">M27-L27</f>
        <v>0</v>
      </c>
      <c r="O27" s="17" t="str">
        <f aca="false">IF(OR(J27="Blocked",J27="At Risk"),"Red",IF(N27&gt;0,"Amber","Green"))</f>
        <v>Green</v>
      </c>
      <c r="P27" s="18" t="n">
        <v>100</v>
      </c>
      <c r="Q27" s="19" t="n">
        <v>52</v>
      </c>
      <c r="R27" s="11" t="s">
        <v>166</v>
      </c>
      <c r="S27" s="11"/>
      <c r="T27" s="12" t="s">
        <v>172</v>
      </c>
      <c r="U27" s="40" t="s">
        <v>71</v>
      </c>
      <c r="V27" s="15" t="n">
        <v>46212</v>
      </c>
      <c r="W27" s="12" t="s">
        <v>173</v>
      </c>
      <c r="X27" s="12" t="s">
        <v>47</v>
      </c>
    </row>
    <row r="28" customFormat="false" ht="23.85" hidden="false" customHeight="false" outlineLevel="0" collapsed="false">
      <c r="A28" s="21" t="s">
        <v>174</v>
      </c>
      <c r="B28" s="21" t="s">
        <v>38</v>
      </c>
      <c r="C28" s="21" t="s">
        <v>155</v>
      </c>
      <c r="D28" s="22" t="s">
        <v>175</v>
      </c>
      <c r="E28" s="21" t="s">
        <v>105</v>
      </c>
      <c r="F28" s="21" t="s">
        <v>171</v>
      </c>
      <c r="G28" s="21" t="s">
        <v>158</v>
      </c>
      <c r="H28" s="22" t="s">
        <v>42</v>
      </c>
      <c r="I28" s="23" t="s">
        <v>32</v>
      </c>
      <c r="J28" s="33" t="s">
        <v>33</v>
      </c>
      <c r="K28" s="25" t="n">
        <v>46216</v>
      </c>
      <c r="L28" s="25" t="n">
        <v>46259</v>
      </c>
      <c r="M28" s="25" t="n">
        <v>46276</v>
      </c>
      <c r="N28" s="26" t="n">
        <f aca="false">M28-L28</f>
        <v>17</v>
      </c>
      <c r="O28" s="8" t="str">
        <f aca="false">IF(OR(J28="Blocked",J28="At Risk"),"Red",IF(N28&gt;0,"Amber","Green"))</f>
        <v>Red</v>
      </c>
      <c r="P28" s="27" t="n">
        <v>60</v>
      </c>
      <c r="Q28" s="28" t="n">
        <v>42</v>
      </c>
      <c r="R28" s="21" t="s">
        <v>169</v>
      </c>
      <c r="S28" s="21"/>
      <c r="T28" s="22" t="s">
        <v>176</v>
      </c>
      <c r="U28" s="41" t="s">
        <v>65</v>
      </c>
      <c r="V28" s="25" t="n">
        <v>46248</v>
      </c>
      <c r="W28" s="22" t="s">
        <v>177</v>
      </c>
      <c r="X28" s="22" t="s">
        <v>178</v>
      </c>
    </row>
    <row r="29" customFormat="false" ht="23.85" hidden="false" customHeight="false" outlineLevel="0" collapsed="false">
      <c r="A29" s="11" t="s">
        <v>179</v>
      </c>
      <c r="B29" s="11" t="s">
        <v>38</v>
      </c>
      <c r="C29" s="11" t="s">
        <v>155</v>
      </c>
      <c r="D29" s="12" t="s">
        <v>180</v>
      </c>
      <c r="E29" s="11" t="s">
        <v>63</v>
      </c>
      <c r="F29" s="11" t="s">
        <v>157</v>
      </c>
      <c r="G29" s="11" t="s">
        <v>158</v>
      </c>
      <c r="H29" s="12" t="s">
        <v>42</v>
      </c>
      <c r="I29" s="13" t="s">
        <v>32</v>
      </c>
      <c r="J29" s="13" t="s">
        <v>72</v>
      </c>
      <c r="K29" s="15" t="n">
        <v>46279</v>
      </c>
      <c r="L29" s="15" t="n">
        <v>46285</v>
      </c>
      <c r="M29" s="15" t="n">
        <v>46311</v>
      </c>
      <c r="N29" s="16" t="n">
        <f aca="false">M29-L29</f>
        <v>26</v>
      </c>
      <c r="O29" s="8" t="str">
        <f aca="false">IF(OR(J29="Blocked",J29="At Risk"),"Red",IF(N29&gt;0,"Amber","Green"))</f>
        <v>Red</v>
      </c>
      <c r="P29" s="18" t="n">
        <v>10</v>
      </c>
      <c r="Q29" s="19" t="n">
        <v>25</v>
      </c>
      <c r="R29" s="11" t="s">
        <v>174</v>
      </c>
      <c r="S29" s="11"/>
      <c r="T29" s="12" t="s">
        <v>181</v>
      </c>
      <c r="U29" s="20" t="s">
        <v>45</v>
      </c>
      <c r="V29" s="15" t="n">
        <v>46249</v>
      </c>
      <c r="W29" s="12" t="s">
        <v>182</v>
      </c>
      <c r="X29" s="12" t="s">
        <v>183</v>
      </c>
    </row>
    <row r="30" customFormat="false" ht="23.85" hidden="false" customHeight="false" outlineLevel="0" collapsed="false">
      <c r="A30" s="21" t="s">
        <v>184</v>
      </c>
      <c r="B30" s="21" t="s">
        <v>38</v>
      </c>
      <c r="C30" s="21" t="s">
        <v>155</v>
      </c>
      <c r="D30" s="22" t="s">
        <v>185</v>
      </c>
      <c r="E30" s="21" t="s">
        <v>70</v>
      </c>
      <c r="F30" s="21" t="s">
        <v>164</v>
      </c>
      <c r="G30" s="21" t="s">
        <v>158</v>
      </c>
      <c r="H30" s="22" t="s">
        <v>42</v>
      </c>
      <c r="I30" s="33" t="s">
        <v>71</v>
      </c>
      <c r="J30" s="36" t="s">
        <v>112</v>
      </c>
      <c r="K30" s="25" t="n">
        <v>46314</v>
      </c>
      <c r="L30" s="25" t="n">
        <v>46339</v>
      </c>
      <c r="M30" s="25" t="n">
        <v>46339</v>
      </c>
      <c r="N30" s="26" t="n">
        <f aca="false">M30-L30</f>
        <v>0</v>
      </c>
      <c r="O30" s="17" t="str">
        <f aca="false">IF(OR(J30="Blocked",J30="At Risk"),"Red",IF(N30&gt;0,"Amber","Green"))</f>
        <v>Green</v>
      </c>
      <c r="P30" s="27" t="n">
        <v>0</v>
      </c>
      <c r="Q30" s="28" t="n">
        <v>15</v>
      </c>
      <c r="R30" s="21" t="s">
        <v>179</v>
      </c>
      <c r="S30" s="21"/>
      <c r="T30" s="22" t="s">
        <v>44</v>
      </c>
      <c r="U30" s="29" t="s">
        <v>45</v>
      </c>
      <c r="V30" s="25" t="n">
        <v>46249</v>
      </c>
      <c r="W30" s="22" t="s">
        <v>186</v>
      </c>
      <c r="X30" s="22" t="s">
        <v>187</v>
      </c>
    </row>
    <row r="31" customFormat="false" ht="35.05" hidden="false" customHeight="false" outlineLevel="0" collapsed="false">
      <c r="A31" s="2" t="s">
        <v>188</v>
      </c>
      <c r="B31" s="2" t="s">
        <v>25</v>
      </c>
      <c r="C31" s="2" t="s">
        <v>189</v>
      </c>
      <c r="D31" s="3" t="s">
        <v>190</v>
      </c>
      <c r="E31" s="2" t="s">
        <v>105</v>
      </c>
      <c r="F31" s="2" t="s">
        <v>191</v>
      </c>
      <c r="G31" s="2" t="s">
        <v>192</v>
      </c>
      <c r="H31" s="3" t="s">
        <v>193</v>
      </c>
      <c r="I31" s="4" t="s">
        <v>32</v>
      </c>
      <c r="J31" s="5" t="s">
        <v>33</v>
      </c>
      <c r="K31" s="6" t="n">
        <v>46083</v>
      </c>
      <c r="L31" s="6" t="n">
        <v>46296</v>
      </c>
      <c r="M31" s="6" t="n">
        <v>46332</v>
      </c>
      <c r="N31" s="7" t="n">
        <f aca="false">M31-L31</f>
        <v>36</v>
      </c>
      <c r="O31" s="8" t="str">
        <f aca="false">IF(OR(J31="Blocked",J31="At Risk"),"Red",IF(N31&gt;0,"Amber","Green"))</f>
        <v>Red</v>
      </c>
      <c r="P31" s="9" t="n">
        <f aca="false">ROUND(AVERAGEIFS($P$2:$P$47,$C$2:$C$47,C31,$B$2:$B$47,"Sub-task"),0)</f>
        <v>52</v>
      </c>
      <c r="Q31" s="10"/>
      <c r="R31" s="2" t="s">
        <v>154</v>
      </c>
      <c r="S31" s="2" t="s">
        <v>34</v>
      </c>
      <c r="T31" s="3" t="str">
        <f aca="false">IF(COUNTIFS($C$2:$C$47,C31,$B$2:$B$47,"Sub-task",$U$2:$U$47,"Critical")+COUNTIFS($C$2:$C$47,C31,$B$2:$B$47,"Sub-task",$U$2:$U$47,"High")&gt;0,COUNTIFS($C$2:$C$47,C31,$B$2:$B$47,"Sub-task",$U$2:$U$47,"Critical")+COUNTIFS($C$2:$C$47,C31,$B$2:$B$47,"Sub-task",$U$2:$U$47,"High")&amp;" critical/high severity issue(s) open across sub-tasks",IF(COUNTIFS($C$2:$C$47,C31,$B$2:$B$47,"Sub-task",$U$2:$U$47,"Medium")+COUNTIFS($C$2:$C$47,C31,$B$2:$B$47,"Sub-task",$U$2:$U$47,"Low")&gt;0,COUNTIFS($C$2:$C$47,C31,$B$2:$B$47,"Sub-task",$U$2:$U$47,"Medium")+COUNTIFS($C$2:$C$47,C31,$B$2:$B$47,"Sub-task",$U$2:$U$47,"Low")&amp;" lower-severity issue(s) resolved, none currently open","No known issues across sub-tasks"))</f>
        <v>1 critical/high severity issue(s) open across sub-tasks</v>
      </c>
      <c r="U31" s="10" t="str">
        <f aca="false">IF(COUNTIFS($C$2:$C$47,C31,$B$2:$B$47,"Sub-task",$U$2:$U$47,"Critical")&gt;0,"Critical",IF(COUNTIFS($C$2:$C$47,C31,$B$2:$B$47,"Sub-task",$U$2:$U$47,"High")&gt;0,"High",IF(COUNTIFS($C$2:$C$47,C31,$B$2:$B$47,"Sub-task",$U$2:$U$47,"Medium")&gt;0,"Medium",IF(COUNTIFS($C$2:$C$47,C31,$B$2:$B$47,"Sub-task",$U$2:$U$47,"Low")&gt;0,"Low","None"))))</f>
        <v>Critical</v>
      </c>
      <c r="V31" s="6" t="n">
        <v>46249</v>
      </c>
      <c r="W31" s="3" t="s">
        <v>194</v>
      </c>
      <c r="X31" s="3" t="s">
        <v>195</v>
      </c>
    </row>
    <row r="32" customFormat="false" ht="23.85" hidden="false" customHeight="false" outlineLevel="0" collapsed="false">
      <c r="A32" s="21" t="s">
        <v>196</v>
      </c>
      <c r="B32" s="21" t="s">
        <v>38</v>
      </c>
      <c r="C32" s="21" t="s">
        <v>189</v>
      </c>
      <c r="D32" s="22" t="s">
        <v>197</v>
      </c>
      <c r="E32" s="21" t="s">
        <v>87</v>
      </c>
      <c r="F32" s="21" t="s">
        <v>198</v>
      </c>
      <c r="G32" s="21" t="s">
        <v>192</v>
      </c>
      <c r="H32" s="22" t="s">
        <v>42</v>
      </c>
      <c r="I32" s="23" t="s">
        <v>32</v>
      </c>
      <c r="J32" s="24" t="s">
        <v>43</v>
      </c>
      <c r="K32" s="25" t="n">
        <v>46083</v>
      </c>
      <c r="L32" s="25" t="n">
        <v>46122</v>
      </c>
      <c r="M32" s="25" t="n">
        <v>46122</v>
      </c>
      <c r="N32" s="26" t="n">
        <f aca="false">M32-L32</f>
        <v>0</v>
      </c>
      <c r="O32" s="17" t="str">
        <f aca="false">IF(OR(J32="Blocked",J32="At Risk"),"Red",IF(N32&gt;0,"Amber","Green"))</f>
        <v>Green</v>
      </c>
      <c r="P32" s="27" t="n">
        <v>100</v>
      </c>
      <c r="Q32" s="28" t="n">
        <v>27</v>
      </c>
      <c r="R32" s="21"/>
      <c r="S32" s="21"/>
      <c r="T32" s="22" t="s">
        <v>44</v>
      </c>
      <c r="U32" s="29" t="s">
        <v>45</v>
      </c>
      <c r="V32" s="25" t="n">
        <v>46121</v>
      </c>
      <c r="W32" s="22" t="s">
        <v>199</v>
      </c>
      <c r="X32" s="22" t="s">
        <v>47</v>
      </c>
    </row>
    <row r="33" customFormat="false" ht="23.85" hidden="false" customHeight="false" outlineLevel="0" collapsed="false">
      <c r="A33" s="11" t="s">
        <v>200</v>
      </c>
      <c r="B33" s="11" t="s">
        <v>38</v>
      </c>
      <c r="C33" s="11" t="s">
        <v>189</v>
      </c>
      <c r="D33" s="12" t="s">
        <v>201</v>
      </c>
      <c r="E33" s="11" t="s">
        <v>40</v>
      </c>
      <c r="F33" s="11" t="s">
        <v>198</v>
      </c>
      <c r="G33" s="11" t="s">
        <v>192</v>
      </c>
      <c r="H33" s="12" t="s">
        <v>42</v>
      </c>
      <c r="I33" s="31" t="s">
        <v>71</v>
      </c>
      <c r="J33" s="14" t="s">
        <v>43</v>
      </c>
      <c r="K33" s="15" t="n">
        <v>46125</v>
      </c>
      <c r="L33" s="15" t="n">
        <v>46164</v>
      </c>
      <c r="M33" s="15" t="n">
        <v>46164</v>
      </c>
      <c r="N33" s="16" t="n">
        <f aca="false">M33-L33</f>
        <v>0</v>
      </c>
      <c r="O33" s="17" t="str">
        <f aca="false">IF(OR(J33="Blocked",J33="At Risk"),"Red",IF(N33&gt;0,"Amber","Green"))</f>
        <v>Green</v>
      </c>
      <c r="P33" s="18" t="n">
        <v>100</v>
      </c>
      <c r="Q33" s="19" t="n">
        <v>28</v>
      </c>
      <c r="R33" s="11" t="s">
        <v>196</v>
      </c>
      <c r="S33" s="11"/>
      <c r="T33" s="12" t="s">
        <v>44</v>
      </c>
      <c r="U33" s="20" t="s">
        <v>45</v>
      </c>
      <c r="V33" s="15" t="n">
        <v>46163</v>
      </c>
      <c r="W33" s="12" t="s">
        <v>202</v>
      </c>
      <c r="X33" s="12" t="s">
        <v>47</v>
      </c>
    </row>
    <row r="34" customFormat="false" ht="23.85" hidden="false" customHeight="false" outlineLevel="0" collapsed="false">
      <c r="A34" s="21" t="s">
        <v>203</v>
      </c>
      <c r="B34" s="21" t="s">
        <v>38</v>
      </c>
      <c r="C34" s="21" t="s">
        <v>189</v>
      </c>
      <c r="D34" s="22" t="s">
        <v>204</v>
      </c>
      <c r="E34" s="21" t="s">
        <v>105</v>
      </c>
      <c r="F34" s="21" t="s">
        <v>205</v>
      </c>
      <c r="G34" s="21" t="s">
        <v>192</v>
      </c>
      <c r="H34" s="22" t="s">
        <v>42</v>
      </c>
      <c r="I34" s="23" t="s">
        <v>32</v>
      </c>
      <c r="J34" s="23" t="s">
        <v>72</v>
      </c>
      <c r="K34" s="25" t="n">
        <v>46167</v>
      </c>
      <c r="L34" s="25" t="n">
        <v>46228</v>
      </c>
      <c r="M34" s="25" t="n">
        <v>46248</v>
      </c>
      <c r="N34" s="26" t="n">
        <f aca="false">M34-L34</f>
        <v>20</v>
      </c>
      <c r="O34" s="8" t="str">
        <f aca="false">IF(OR(J34="Blocked",J34="At Risk"),"Red",IF(N34&gt;0,"Amber","Green"))</f>
        <v>Red</v>
      </c>
      <c r="P34" s="27" t="n">
        <v>45</v>
      </c>
      <c r="Q34" s="28" t="n">
        <v>45</v>
      </c>
      <c r="R34" s="21" t="s">
        <v>169</v>
      </c>
      <c r="S34" s="21"/>
      <c r="T34" s="22" t="s">
        <v>206</v>
      </c>
      <c r="U34" s="41" t="s">
        <v>65</v>
      </c>
      <c r="V34" s="25" t="n">
        <v>46248</v>
      </c>
      <c r="W34" s="22" t="s">
        <v>207</v>
      </c>
      <c r="X34" s="22" t="s">
        <v>208</v>
      </c>
    </row>
    <row r="35" customFormat="false" ht="23.85" hidden="false" customHeight="false" outlineLevel="0" collapsed="false">
      <c r="A35" s="11" t="s">
        <v>209</v>
      </c>
      <c r="B35" s="11" t="s">
        <v>38</v>
      </c>
      <c r="C35" s="11" t="s">
        <v>189</v>
      </c>
      <c r="D35" s="12" t="s">
        <v>210</v>
      </c>
      <c r="E35" s="11" t="s">
        <v>59</v>
      </c>
      <c r="F35" s="11" t="s">
        <v>205</v>
      </c>
      <c r="G35" s="11" t="s">
        <v>192</v>
      </c>
      <c r="H35" s="12" t="s">
        <v>42</v>
      </c>
      <c r="I35" s="13" t="s">
        <v>32</v>
      </c>
      <c r="J35" s="31" t="s">
        <v>33</v>
      </c>
      <c r="K35" s="15" t="n">
        <v>46251</v>
      </c>
      <c r="L35" s="15" t="n">
        <v>46275</v>
      </c>
      <c r="M35" s="15" t="n">
        <v>46290</v>
      </c>
      <c r="N35" s="16" t="n">
        <f aca="false">M35-L35</f>
        <v>15</v>
      </c>
      <c r="O35" s="8" t="str">
        <f aca="false">IF(OR(J35="Blocked",J35="At Risk"),"Red",IF(N35&gt;0,"Amber","Green"))</f>
        <v>Red</v>
      </c>
      <c r="P35" s="18" t="n">
        <v>15</v>
      </c>
      <c r="Q35" s="19" t="n">
        <v>25</v>
      </c>
      <c r="R35" s="11" t="s">
        <v>203</v>
      </c>
      <c r="S35" s="11"/>
      <c r="T35" s="12" t="s">
        <v>211</v>
      </c>
      <c r="U35" s="20" t="s">
        <v>45</v>
      </c>
      <c r="V35" s="15" t="n">
        <v>46249</v>
      </c>
      <c r="W35" s="12" t="s">
        <v>212</v>
      </c>
      <c r="X35" s="12" t="s">
        <v>213</v>
      </c>
    </row>
    <row r="36" customFormat="false" ht="23.85" hidden="false" customHeight="false" outlineLevel="0" collapsed="false">
      <c r="A36" s="21" t="s">
        <v>214</v>
      </c>
      <c r="B36" s="21" t="s">
        <v>38</v>
      </c>
      <c r="C36" s="21" t="s">
        <v>189</v>
      </c>
      <c r="D36" s="22" t="s">
        <v>215</v>
      </c>
      <c r="E36" s="21" t="s">
        <v>70</v>
      </c>
      <c r="F36" s="21" t="s">
        <v>191</v>
      </c>
      <c r="G36" s="21" t="s">
        <v>192</v>
      </c>
      <c r="H36" s="22" t="s">
        <v>42</v>
      </c>
      <c r="I36" s="23" t="s">
        <v>32</v>
      </c>
      <c r="J36" s="36" t="s">
        <v>112</v>
      </c>
      <c r="K36" s="25" t="n">
        <v>46293</v>
      </c>
      <c r="L36" s="25" t="n">
        <v>46332</v>
      </c>
      <c r="M36" s="25" t="n">
        <v>46332</v>
      </c>
      <c r="N36" s="26" t="n">
        <f aca="false">M36-L36</f>
        <v>0</v>
      </c>
      <c r="O36" s="17" t="str">
        <f aca="false">IF(OR(J36="Blocked",J36="At Risk"),"Red",IF(N36&gt;0,"Amber","Green"))</f>
        <v>Green</v>
      </c>
      <c r="P36" s="27" t="n">
        <v>0</v>
      </c>
      <c r="Q36" s="28" t="n">
        <v>22</v>
      </c>
      <c r="R36" s="21" t="s">
        <v>209</v>
      </c>
      <c r="S36" s="21"/>
      <c r="T36" s="22" t="s">
        <v>44</v>
      </c>
      <c r="U36" s="29" t="s">
        <v>45</v>
      </c>
      <c r="V36" s="25" t="n">
        <v>46249</v>
      </c>
      <c r="W36" s="22" t="s">
        <v>216</v>
      </c>
      <c r="X36" s="22" t="s">
        <v>217</v>
      </c>
    </row>
    <row r="37" customFormat="false" ht="35.05" hidden="false" customHeight="false" outlineLevel="0" collapsed="false">
      <c r="A37" s="2" t="s">
        <v>82</v>
      </c>
      <c r="B37" s="2" t="s">
        <v>25</v>
      </c>
      <c r="C37" s="2" t="s">
        <v>218</v>
      </c>
      <c r="D37" s="3" t="s">
        <v>219</v>
      </c>
      <c r="E37" s="2" t="s">
        <v>28</v>
      </c>
      <c r="F37" s="2" t="s">
        <v>220</v>
      </c>
      <c r="G37" s="2" t="s">
        <v>221</v>
      </c>
      <c r="H37" s="3" t="s">
        <v>222</v>
      </c>
      <c r="I37" s="5" t="s">
        <v>71</v>
      </c>
      <c r="J37" s="5" t="s">
        <v>33</v>
      </c>
      <c r="K37" s="6" t="n">
        <v>46027</v>
      </c>
      <c r="L37" s="6" t="n">
        <v>46259</v>
      </c>
      <c r="M37" s="6" t="n">
        <v>46283</v>
      </c>
      <c r="N37" s="7" t="n">
        <f aca="false">M37-L37</f>
        <v>24</v>
      </c>
      <c r="O37" s="8" t="str">
        <f aca="false">IF(OR(J37="Blocked",J37="At Risk"),"Red",IF(N37&gt;0,"Amber","Green"))</f>
        <v>Red</v>
      </c>
      <c r="P37" s="9" t="n">
        <f aca="false">ROUND(AVERAGEIFS($P$2:$P$47,$C$2:$C$47,C37,$B$2:$B$47,"Sub-task"),0)</f>
        <v>68</v>
      </c>
      <c r="Q37" s="10"/>
      <c r="R37" s="2"/>
      <c r="S37" s="2" t="s">
        <v>223</v>
      </c>
      <c r="T37" s="3" t="str">
        <f aca="false">IF(COUNTIFS($C$2:$C$47,C37,$B$2:$B$47,"Sub-task",$U$2:$U$47,"Critical")+COUNTIFS($C$2:$C$47,C37,$B$2:$B$47,"Sub-task",$U$2:$U$47,"High")&gt;0,COUNTIFS($C$2:$C$47,C37,$B$2:$B$47,"Sub-task",$U$2:$U$47,"Critical")+COUNTIFS($C$2:$C$47,C37,$B$2:$B$47,"Sub-task",$U$2:$U$47,"High")&amp;" critical/high severity issue(s) open across sub-tasks",IF(COUNTIFS($C$2:$C$47,C37,$B$2:$B$47,"Sub-task",$U$2:$U$47,"Medium")+COUNTIFS($C$2:$C$47,C37,$B$2:$B$47,"Sub-task",$U$2:$U$47,"Low")&gt;0,COUNTIFS($C$2:$C$47,C37,$B$2:$B$47,"Sub-task",$U$2:$U$47,"Medium")+COUNTIFS($C$2:$C$47,C37,$B$2:$B$47,"Sub-task",$U$2:$U$47,"Low")&amp;" lower-severity issue(s) resolved, none currently open","No known issues across sub-tasks"))</f>
        <v>No known issues across sub-tasks</v>
      </c>
      <c r="U37" s="10" t="str">
        <f aca="false">IF(COUNTIFS($C$2:$C$47,C37,$B$2:$B$47,"Sub-task",$U$2:$U$47,"Critical")&gt;0,"Critical",IF(COUNTIFS($C$2:$C$47,C37,$B$2:$B$47,"Sub-task",$U$2:$U$47,"High")&gt;0,"High",IF(COUNTIFS($C$2:$C$47,C37,$B$2:$B$47,"Sub-task",$U$2:$U$47,"Medium")&gt;0,"Medium",IF(COUNTIFS($C$2:$C$47,C37,$B$2:$B$47,"Sub-task",$U$2:$U$47,"Low")&gt;0,"Low","None"))))</f>
        <v>None</v>
      </c>
      <c r="V37" s="6" t="n">
        <v>46249</v>
      </c>
      <c r="W37" s="3" t="s">
        <v>224</v>
      </c>
      <c r="X37" s="3" t="s">
        <v>225</v>
      </c>
    </row>
    <row r="38" customFormat="false" ht="23.85" hidden="false" customHeight="false" outlineLevel="0" collapsed="false">
      <c r="A38" s="21" t="s">
        <v>226</v>
      </c>
      <c r="B38" s="21" t="s">
        <v>38</v>
      </c>
      <c r="C38" s="21" t="s">
        <v>218</v>
      </c>
      <c r="D38" s="22" t="s">
        <v>227</v>
      </c>
      <c r="E38" s="21" t="s">
        <v>40</v>
      </c>
      <c r="F38" s="21" t="s">
        <v>228</v>
      </c>
      <c r="G38" s="21" t="s">
        <v>221</v>
      </c>
      <c r="H38" s="22" t="s">
        <v>42</v>
      </c>
      <c r="I38" s="33" t="s">
        <v>71</v>
      </c>
      <c r="J38" s="24" t="s">
        <v>43</v>
      </c>
      <c r="K38" s="25" t="n">
        <v>46027</v>
      </c>
      <c r="L38" s="25" t="n">
        <v>46073</v>
      </c>
      <c r="M38" s="25" t="n">
        <v>46073</v>
      </c>
      <c r="N38" s="26" t="n">
        <f aca="false">M38-L38</f>
        <v>0</v>
      </c>
      <c r="O38" s="17" t="str">
        <f aca="false">IF(OR(J38="Blocked",J38="At Risk"),"Red",IF(N38&gt;0,"Amber","Green"))</f>
        <v>Green</v>
      </c>
      <c r="P38" s="27" t="n">
        <v>100</v>
      </c>
      <c r="Q38" s="28" t="n">
        <v>33</v>
      </c>
      <c r="R38" s="21"/>
      <c r="S38" s="21"/>
      <c r="T38" s="22" t="s">
        <v>44</v>
      </c>
      <c r="U38" s="29" t="s">
        <v>45</v>
      </c>
      <c r="V38" s="25" t="n">
        <v>46072</v>
      </c>
      <c r="W38" s="22" t="s">
        <v>229</v>
      </c>
      <c r="X38" s="22" t="s">
        <v>47</v>
      </c>
    </row>
    <row r="39" customFormat="false" ht="23.85" hidden="false" customHeight="false" outlineLevel="0" collapsed="false">
      <c r="A39" s="11" t="s">
        <v>230</v>
      </c>
      <c r="B39" s="11" t="s">
        <v>38</v>
      </c>
      <c r="C39" s="11" t="s">
        <v>218</v>
      </c>
      <c r="D39" s="12" t="s">
        <v>231</v>
      </c>
      <c r="E39" s="11" t="s">
        <v>92</v>
      </c>
      <c r="F39" s="11" t="s">
        <v>228</v>
      </c>
      <c r="G39" s="11" t="s">
        <v>221</v>
      </c>
      <c r="H39" s="12" t="s">
        <v>42</v>
      </c>
      <c r="I39" s="31" t="s">
        <v>71</v>
      </c>
      <c r="J39" s="14" t="s">
        <v>43</v>
      </c>
      <c r="K39" s="15" t="n">
        <v>46076</v>
      </c>
      <c r="L39" s="15" t="n">
        <v>46122</v>
      </c>
      <c r="M39" s="15" t="n">
        <v>46122</v>
      </c>
      <c r="N39" s="16" t="n">
        <f aca="false">M39-L39</f>
        <v>0</v>
      </c>
      <c r="O39" s="17" t="str">
        <f aca="false">IF(OR(J39="Blocked",J39="At Risk"),"Red",IF(N39&gt;0,"Amber","Green"))</f>
        <v>Green</v>
      </c>
      <c r="P39" s="18" t="n">
        <v>100</v>
      </c>
      <c r="Q39" s="19" t="n">
        <v>33</v>
      </c>
      <c r="R39" s="11" t="s">
        <v>226</v>
      </c>
      <c r="S39" s="11"/>
      <c r="T39" s="12" t="s">
        <v>44</v>
      </c>
      <c r="U39" s="20" t="s">
        <v>45</v>
      </c>
      <c r="V39" s="15" t="n">
        <v>46121</v>
      </c>
      <c r="W39" s="12" t="s">
        <v>232</v>
      </c>
      <c r="X39" s="12" t="s">
        <v>47</v>
      </c>
    </row>
    <row r="40" customFormat="false" ht="23.85" hidden="false" customHeight="false" outlineLevel="0" collapsed="false">
      <c r="A40" s="21" t="s">
        <v>106</v>
      </c>
      <c r="B40" s="21" t="s">
        <v>38</v>
      </c>
      <c r="C40" s="21" t="s">
        <v>218</v>
      </c>
      <c r="D40" s="22" t="s">
        <v>233</v>
      </c>
      <c r="E40" s="21" t="s">
        <v>28</v>
      </c>
      <c r="F40" s="21" t="s">
        <v>220</v>
      </c>
      <c r="G40" s="21" t="s">
        <v>221</v>
      </c>
      <c r="H40" s="22" t="s">
        <v>42</v>
      </c>
      <c r="I40" s="23" t="s">
        <v>32</v>
      </c>
      <c r="J40" s="33" t="s">
        <v>33</v>
      </c>
      <c r="K40" s="25" t="n">
        <v>46125</v>
      </c>
      <c r="L40" s="25" t="n">
        <v>46227</v>
      </c>
      <c r="M40" s="25" t="n">
        <v>46255</v>
      </c>
      <c r="N40" s="26" t="n">
        <f aca="false">M40-L40</f>
        <v>28</v>
      </c>
      <c r="O40" s="8" t="str">
        <f aca="false">IF(OR(J40="Blocked",J40="At Risk"),"Red",IF(N40&gt;0,"Amber","Green"))</f>
        <v>Red</v>
      </c>
      <c r="P40" s="27" t="n">
        <v>70</v>
      </c>
      <c r="Q40" s="28" t="n">
        <v>60</v>
      </c>
      <c r="R40" s="21" t="s">
        <v>230</v>
      </c>
      <c r="S40" s="21"/>
      <c r="T40" s="22" t="s">
        <v>234</v>
      </c>
      <c r="U40" s="29" t="s">
        <v>45</v>
      </c>
      <c r="V40" s="25" t="n">
        <v>46248</v>
      </c>
      <c r="W40" s="22" t="s">
        <v>235</v>
      </c>
      <c r="X40" s="22" t="s">
        <v>236</v>
      </c>
    </row>
    <row r="41" customFormat="false" ht="23.85" hidden="false" customHeight="false" outlineLevel="0" collapsed="false">
      <c r="A41" s="11" t="s">
        <v>237</v>
      </c>
      <c r="B41" s="11" t="s">
        <v>38</v>
      </c>
      <c r="C41" s="11" t="s">
        <v>218</v>
      </c>
      <c r="D41" s="12" t="s">
        <v>238</v>
      </c>
      <c r="E41" s="11" t="s">
        <v>63</v>
      </c>
      <c r="F41" s="11" t="s">
        <v>228</v>
      </c>
      <c r="G41" s="11" t="s">
        <v>221</v>
      </c>
      <c r="H41" s="12" t="s">
        <v>42</v>
      </c>
      <c r="I41" s="31" t="s">
        <v>71</v>
      </c>
      <c r="J41" s="35" t="s">
        <v>112</v>
      </c>
      <c r="K41" s="15" t="n">
        <v>46258</v>
      </c>
      <c r="L41" s="15" t="n">
        <v>46283</v>
      </c>
      <c r="M41" s="15" t="n">
        <v>46283</v>
      </c>
      <c r="N41" s="16" t="n">
        <f aca="false">M41-L41</f>
        <v>0</v>
      </c>
      <c r="O41" s="17" t="str">
        <f aca="false">IF(OR(J41="Blocked",J41="At Risk"),"Red",IF(N41&gt;0,"Amber","Green"))</f>
        <v>Green</v>
      </c>
      <c r="P41" s="18" t="n">
        <v>0</v>
      </c>
      <c r="Q41" s="19" t="n">
        <v>18</v>
      </c>
      <c r="R41" s="11" t="s">
        <v>106</v>
      </c>
      <c r="S41" s="11"/>
      <c r="T41" s="12" t="s">
        <v>44</v>
      </c>
      <c r="U41" s="20" t="s">
        <v>45</v>
      </c>
      <c r="V41" s="15" t="n">
        <v>46249</v>
      </c>
      <c r="W41" s="12" t="s">
        <v>239</v>
      </c>
      <c r="X41" s="12" t="s">
        <v>240</v>
      </c>
    </row>
    <row r="42" customFormat="false" ht="35.05" hidden="false" customHeight="false" outlineLevel="0" collapsed="false">
      <c r="A42" s="2" t="s">
        <v>241</v>
      </c>
      <c r="B42" s="2" t="s">
        <v>25</v>
      </c>
      <c r="C42" s="2" t="s">
        <v>242</v>
      </c>
      <c r="D42" s="3" t="s">
        <v>243</v>
      </c>
      <c r="E42" s="2" t="s">
        <v>53</v>
      </c>
      <c r="F42" s="2" t="s">
        <v>244</v>
      </c>
      <c r="G42" s="2" t="s">
        <v>245</v>
      </c>
      <c r="H42" s="3" t="s">
        <v>246</v>
      </c>
      <c r="I42" s="5" t="s">
        <v>71</v>
      </c>
      <c r="J42" s="37" t="s">
        <v>126</v>
      </c>
      <c r="K42" s="6" t="n">
        <v>46069</v>
      </c>
      <c r="L42" s="6" t="n">
        <v>46325</v>
      </c>
      <c r="M42" s="6" t="n">
        <v>46325</v>
      </c>
      <c r="N42" s="7" t="n">
        <f aca="false">M42-L42</f>
        <v>0</v>
      </c>
      <c r="O42" s="17" t="str">
        <f aca="false">IF(OR(J42="Blocked",J42="At Risk"),"Red",IF(N42&gt;0,"Amber","Green"))</f>
        <v>Green</v>
      </c>
      <c r="P42" s="9" t="n">
        <f aca="false">ROUND(AVERAGEIFS($P$2:$P$47,$C$2:$C$47,C42,$B$2:$B$47,"Sub-task"),0)</f>
        <v>73</v>
      </c>
      <c r="Q42" s="10"/>
      <c r="R42" s="2" t="s">
        <v>24</v>
      </c>
      <c r="S42" s="2" t="s">
        <v>127</v>
      </c>
      <c r="T42" s="3" t="str">
        <f aca="false">IF(COUNTIFS($C$2:$C$47,C42,$B$2:$B$47,"Sub-task",$U$2:$U$47,"Critical")+COUNTIFS($C$2:$C$47,C42,$B$2:$B$47,"Sub-task",$U$2:$U$47,"High")&gt;0,COUNTIFS($C$2:$C$47,C42,$B$2:$B$47,"Sub-task",$U$2:$U$47,"Critical")+COUNTIFS($C$2:$C$47,C42,$B$2:$B$47,"Sub-task",$U$2:$U$47,"High")&amp;" critical/high severity issue(s) open across sub-tasks",IF(COUNTIFS($C$2:$C$47,C42,$B$2:$B$47,"Sub-task",$U$2:$U$47,"Medium")+COUNTIFS($C$2:$C$47,C42,$B$2:$B$47,"Sub-task",$U$2:$U$47,"Low")&gt;0,COUNTIFS($C$2:$C$47,C42,$B$2:$B$47,"Sub-task",$U$2:$U$47,"Medium")+COUNTIFS($C$2:$C$47,C42,$B$2:$B$47,"Sub-task",$U$2:$U$47,"Low")&amp;" lower-severity issue(s) resolved, none currently open","No known issues across sub-tasks"))</f>
        <v>2 lower-severity issue(s) resolved, none currently open</v>
      </c>
      <c r="U42" s="10" t="str">
        <f aca="false">IF(COUNTIFS($C$2:$C$47,C42,$B$2:$B$47,"Sub-task",$U$2:$U$47,"Critical")&gt;0,"Critical",IF(COUNTIFS($C$2:$C$47,C42,$B$2:$B$47,"Sub-task",$U$2:$U$47,"High")&gt;0,"High",IF(COUNTIFS($C$2:$C$47,C42,$B$2:$B$47,"Sub-task",$U$2:$U$47,"Medium")&gt;0,"Medium",IF(COUNTIFS($C$2:$C$47,C42,$B$2:$B$47,"Sub-task",$U$2:$U$47,"Low")&gt;0,"Low","None"))))</f>
        <v>Medium</v>
      </c>
      <c r="V42" s="6" t="n">
        <v>46249</v>
      </c>
      <c r="W42" s="3" t="s">
        <v>247</v>
      </c>
      <c r="X42" s="3" t="s">
        <v>129</v>
      </c>
    </row>
    <row r="43" customFormat="false" ht="23.85" hidden="false" customHeight="false" outlineLevel="0" collapsed="false">
      <c r="A43" s="11" t="s">
        <v>248</v>
      </c>
      <c r="B43" s="11" t="s">
        <v>38</v>
      </c>
      <c r="C43" s="11" t="s">
        <v>242</v>
      </c>
      <c r="D43" s="12" t="s">
        <v>249</v>
      </c>
      <c r="E43" s="11" t="s">
        <v>87</v>
      </c>
      <c r="F43" s="11" t="s">
        <v>250</v>
      </c>
      <c r="G43" s="11" t="s">
        <v>245</v>
      </c>
      <c r="H43" s="12" t="s">
        <v>42</v>
      </c>
      <c r="I43" s="31" t="s">
        <v>71</v>
      </c>
      <c r="J43" s="14" t="s">
        <v>43</v>
      </c>
      <c r="K43" s="15" t="n">
        <v>46069</v>
      </c>
      <c r="L43" s="15" t="n">
        <v>46108</v>
      </c>
      <c r="M43" s="15" t="n">
        <v>46108</v>
      </c>
      <c r="N43" s="16" t="n">
        <f aca="false">M43-L43</f>
        <v>0</v>
      </c>
      <c r="O43" s="17" t="str">
        <f aca="false">IF(OR(J43="Blocked",J43="At Risk"),"Red",IF(N43&gt;0,"Amber","Green"))</f>
        <v>Green</v>
      </c>
      <c r="P43" s="18" t="n">
        <v>100</v>
      </c>
      <c r="Q43" s="19" t="n">
        <v>27</v>
      </c>
      <c r="R43" s="11"/>
      <c r="S43" s="11"/>
      <c r="T43" s="12" t="s">
        <v>44</v>
      </c>
      <c r="U43" s="20" t="s">
        <v>45</v>
      </c>
      <c r="V43" s="15" t="n">
        <v>46107</v>
      </c>
      <c r="W43" s="12" t="s">
        <v>251</v>
      </c>
      <c r="X43" s="12" t="s">
        <v>47</v>
      </c>
    </row>
    <row r="44" customFormat="false" ht="23.85" hidden="false" customHeight="false" outlineLevel="0" collapsed="false">
      <c r="A44" s="21" t="s">
        <v>252</v>
      </c>
      <c r="B44" s="21" t="s">
        <v>38</v>
      </c>
      <c r="C44" s="21" t="s">
        <v>242</v>
      </c>
      <c r="D44" s="22" t="s">
        <v>253</v>
      </c>
      <c r="E44" s="21" t="s">
        <v>40</v>
      </c>
      <c r="F44" s="21" t="s">
        <v>250</v>
      </c>
      <c r="G44" s="21" t="s">
        <v>245</v>
      </c>
      <c r="H44" s="22" t="s">
        <v>42</v>
      </c>
      <c r="I44" s="33" t="s">
        <v>71</v>
      </c>
      <c r="J44" s="24" t="s">
        <v>43</v>
      </c>
      <c r="K44" s="25" t="n">
        <v>46111</v>
      </c>
      <c r="L44" s="25" t="n">
        <v>46150</v>
      </c>
      <c r="M44" s="25" t="n">
        <v>46150</v>
      </c>
      <c r="N44" s="26" t="n">
        <f aca="false">M44-L44</f>
        <v>0</v>
      </c>
      <c r="O44" s="17" t="str">
        <f aca="false">IF(OR(J44="Blocked",J44="At Risk"),"Red",IF(N44&gt;0,"Amber","Green"))</f>
        <v>Green</v>
      </c>
      <c r="P44" s="27" t="n">
        <v>100</v>
      </c>
      <c r="Q44" s="28" t="n">
        <v>27</v>
      </c>
      <c r="R44" s="21" t="s">
        <v>248</v>
      </c>
      <c r="S44" s="21"/>
      <c r="T44" s="22" t="s">
        <v>44</v>
      </c>
      <c r="U44" s="29" t="s">
        <v>45</v>
      </c>
      <c r="V44" s="25" t="n">
        <v>46149</v>
      </c>
      <c r="W44" s="22" t="s">
        <v>254</v>
      </c>
      <c r="X44" s="22" t="s">
        <v>47</v>
      </c>
    </row>
    <row r="45" customFormat="false" ht="23.85" hidden="false" customHeight="false" outlineLevel="0" collapsed="false">
      <c r="A45" s="11" t="s">
        <v>255</v>
      </c>
      <c r="B45" s="11" t="s">
        <v>38</v>
      </c>
      <c r="C45" s="11" t="s">
        <v>242</v>
      </c>
      <c r="D45" s="12" t="s">
        <v>256</v>
      </c>
      <c r="E45" s="11" t="s">
        <v>105</v>
      </c>
      <c r="F45" s="11" t="s">
        <v>257</v>
      </c>
      <c r="G45" s="11" t="s">
        <v>245</v>
      </c>
      <c r="H45" s="12" t="s">
        <v>42</v>
      </c>
      <c r="I45" s="31" t="s">
        <v>71</v>
      </c>
      <c r="J45" s="14" t="s">
        <v>43</v>
      </c>
      <c r="K45" s="15" t="n">
        <v>46153</v>
      </c>
      <c r="L45" s="15" t="n">
        <v>46227</v>
      </c>
      <c r="M45" s="15" t="n">
        <v>46227</v>
      </c>
      <c r="N45" s="16" t="n">
        <f aca="false">M45-L45</f>
        <v>0</v>
      </c>
      <c r="O45" s="17" t="str">
        <f aca="false">IF(OR(J45="Blocked",J45="At Risk"),"Red",IF(N45&gt;0,"Amber","Green"))</f>
        <v>Green</v>
      </c>
      <c r="P45" s="18" t="n">
        <v>100</v>
      </c>
      <c r="Q45" s="19" t="n">
        <v>44</v>
      </c>
      <c r="R45" s="11" t="s">
        <v>51</v>
      </c>
      <c r="S45" s="11"/>
      <c r="T45" s="12" t="s">
        <v>258</v>
      </c>
      <c r="U45" s="34" t="s">
        <v>101</v>
      </c>
      <c r="V45" s="15" t="n">
        <v>46226</v>
      </c>
      <c r="W45" s="12" t="s">
        <v>259</v>
      </c>
      <c r="X45" s="12" t="s">
        <v>47</v>
      </c>
    </row>
    <row r="46" customFormat="false" ht="23.85" hidden="false" customHeight="false" outlineLevel="0" collapsed="false">
      <c r="A46" s="21" t="s">
        <v>260</v>
      </c>
      <c r="B46" s="21" t="s">
        <v>38</v>
      </c>
      <c r="C46" s="21" t="s">
        <v>242</v>
      </c>
      <c r="D46" s="22" t="s">
        <v>261</v>
      </c>
      <c r="E46" s="21" t="s">
        <v>53</v>
      </c>
      <c r="F46" s="21" t="s">
        <v>257</v>
      </c>
      <c r="G46" s="21" t="s">
        <v>245</v>
      </c>
      <c r="H46" s="22" t="s">
        <v>42</v>
      </c>
      <c r="I46" s="23" t="s">
        <v>32</v>
      </c>
      <c r="J46" s="42" t="s">
        <v>126</v>
      </c>
      <c r="K46" s="25" t="n">
        <v>46230</v>
      </c>
      <c r="L46" s="25" t="n">
        <v>46276</v>
      </c>
      <c r="M46" s="25" t="n">
        <v>46276</v>
      </c>
      <c r="N46" s="26" t="n">
        <f aca="false">M46-L46</f>
        <v>0</v>
      </c>
      <c r="O46" s="17" t="str">
        <f aca="false">IF(OR(J46="Blocked",J46="At Risk"),"Red",IF(N46&gt;0,"Amber","Green"))</f>
        <v>Green</v>
      </c>
      <c r="P46" s="27" t="n">
        <v>65</v>
      </c>
      <c r="Q46" s="28" t="n">
        <v>30</v>
      </c>
      <c r="R46" s="21" t="s">
        <v>255</v>
      </c>
      <c r="S46" s="21"/>
      <c r="T46" s="22" t="s">
        <v>262</v>
      </c>
      <c r="U46" s="43" t="s">
        <v>71</v>
      </c>
      <c r="V46" s="25" t="n">
        <v>46246</v>
      </c>
      <c r="W46" s="22" t="s">
        <v>263</v>
      </c>
      <c r="X46" s="22" t="s">
        <v>129</v>
      </c>
    </row>
    <row r="47" customFormat="false" ht="23.85" hidden="false" customHeight="false" outlineLevel="0" collapsed="false">
      <c r="A47" s="11" t="s">
        <v>264</v>
      </c>
      <c r="B47" s="11" t="s">
        <v>38</v>
      </c>
      <c r="C47" s="11" t="s">
        <v>242</v>
      </c>
      <c r="D47" s="12" t="s">
        <v>265</v>
      </c>
      <c r="E47" s="11" t="s">
        <v>59</v>
      </c>
      <c r="F47" s="11" t="s">
        <v>244</v>
      </c>
      <c r="G47" s="11" t="s">
        <v>245</v>
      </c>
      <c r="H47" s="12" t="s">
        <v>42</v>
      </c>
      <c r="I47" s="31" t="s">
        <v>71</v>
      </c>
      <c r="J47" s="35" t="s">
        <v>112</v>
      </c>
      <c r="K47" s="15" t="n">
        <v>46279</v>
      </c>
      <c r="L47" s="15" t="n">
        <v>46325</v>
      </c>
      <c r="M47" s="15" t="n">
        <v>46325</v>
      </c>
      <c r="N47" s="16" t="n">
        <f aca="false">M47-L47</f>
        <v>0</v>
      </c>
      <c r="O47" s="17" t="str">
        <f aca="false">IF(OR(J47="Blocked",J47="At Risk"),"Red",IF(N47&gt;0,"Amber","Green"))</f>
        <v>Green</v>
      </c>
      <c r="P47" s="18" t="n">
        <v>0</v>
      </c>
      <c r="Q47" s="19" t="n">
        <v>25</v>
      </c>
      <c r="R47" s="11" t="s">
        <v>260</v>
      </c>
      <c r="S47" s="11"/>
      <c r="T47" s="12" t="s">
        <v>44</v>
      </c>
      <c r="U47" s="20" t="s">
        <v>45</v>
      </c>
      <c r="V47" s="15" t="n">
        <v>46249</v>
      </c>
      <c r="W47" s="12" t="s">
        <v>266</v>
      </c>
      <c r="X47" s="12" t="s">
        <v>153</v>
      </c>
    </row>
    <row r="49" customFormat="false" ht="15" hidden="false" customHeight="false" outlineLevel="0" collapsed="false">
      <c r="A49" s="44" t="s">
        <v>267</v>
      </c>
    </row>
    <row r="50" customFormat="false" ht="15" hidden="false" customHeight="false" outlineLevel="0" collapsed="false">
      <c r="A50" s="45" t="s">
        <v>268</v>
      </c>
    </row>
    <row r="51" customFormat="false" ht="15" hidden="false" customHeight="false" outlineLevel="0" collapsed="false">
      <c r="A51" s="45" t="s">
        <v>269</v>
      </c>
    </row>
    <row r="52" customFormat="false" ht="15" hidden="false" customHeight="false" outlineLevel="0" collapsed="false">
      <c r="A52" s="45" t="s">
        <v>270</v>
      </c>
    </row>
    <row r="53" customFormat="false" ht="15" hidden="false" customHeight="false" outlineLevel="0" collapsed="false">
      <c r="A53" s="45" t="s">
        <v>271</v>
      </c>
    </row>
    <row r="54" customFormat="false" ht="15" hidden="false" customHeight="false" outlineLevel="0" collapsed="false">
      <c r="A54" s="4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2026-08-17T11:31:31Z</dcterms:created>
  <dc:creator>openpyxl</dc:creator>
  <dc:description/>
  <dc:language>en-US</dc:language>
  <cp:lastModifiedBy/>
  <dcterms:modified xsi:type="dcterms:W3CDTF">2026-08-17T11:31:31Z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